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utsav\Downloads\Kite_Zerodha-main\Kite_Zerodha-main\"/>
    </mc:Choice>
  </mc:AlternateContent>
  <xr:revisionPtr revIDLastSave="0" documentId="13_ncr:1_{DF12F27B-7602-45AF-8471-FB80979BDA4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Breakout Screener" sheetId="10" r:id="rId1"/>
    <sheet name="Sheet1" sheetId="11" r:id="rId2"/>
  </sheets>
  <functionGroups builtInGroupCount="19"/>
  <definedNames>
    <definedName name="_xlnm._FilterDatabase" localSheetId="0" hidden="1">'Breakout Screener'!$D$2:$O$494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0" l="1"/>
  <c r="P494" i="10" l="1"/>
  <c r="P493" i="10"/>
  <c r="P492" i="10"/>
  <c r="P491" i="10"/>
  <c r="P490" i="10"/>
  <c r="P489" i="10"/>
  <c r="P488" i="10"/>
  <c r="P487" i="10"/>
  <c r="P486" i="10"/>
  <c r="P485" i="10"/>
  <c r="P484" i="10"/>
  <c r="P483" i="10"/>
  <c r="P482" i="10"/>
  <c r="P481" i="10"/>
  <c r="P480" i="10"/>
  <c r="P479" i="10"/>
  <c r="P478" i="10"/>
  <c r="P477" i="10"/>
  <c r="P476" i="10"/>
  <c r="P475" i="10"/>
  <c r="P474" i="10"/>
  <c r="P473" i="10"/>
  <c r="P472" i="10"/>
  <c r="P471" i="10"/>
  <c r="P470" i="10"/>
  <c r="P469" i="10"/>
  <c r="P468" i="10"/>
  <c r="P467" i="10"/>
  <c r="P466" i="10"/>
  <c r="P465" i="10"/>
  <c r="P464" i="10"/>
  <c r="P463" i="10"/>
  <c r="P462" i="10"/>
  <c r="P461" i="10"/>
  <c r="P460" i="10"/>
  <c r="P459" i="10"/>
  <c r="P458" i="10"/>
  <c r="P457" i="10"/>
  <c r="P456" i="10"/>
  <c r="P455" i="10"/>
  <c r="P454" i="10"/>
  <c r="P453" i="10"/>
  <c r="P452" i="10"/>
  <c r="P451" i="10"/>
  <c r="P450" i="10"/>
  <c r="P449" i="10"/>
  <c r="P448" i="10"/>
  <c r="P447" i="10"/>
  <c r="P446" i="10"/>
  <c r="P445" i="10"/>
  <c r="P444" i="10"/>
  <c r="P443" i="10"/>
  <c r="P442" i="10"/>
  <c r="P441" i="10"/>
  <c r="P440" i="10"/>
  <c r="P439" i="10"/>
  <c r="P438" i="10"/>
  <c r="P437" i="10"/>
  <c r="P436" i="10"/>
  <c r="P435" i="10"/>
  <c r="P434" i="10"/>
  <c r="P433" i="10"/>
  <c r="P432" i="10"/>
  <c r="P431" i="10"/>
  <c r="P430" i="10"/>
  <c r="P429" i="10"/>
  <c r="P428" i="10"/>
  <c r="P427" i="10"/>
  <c r="P426" i="10"/>
  <c r="P425" i="10"/>
  <c r="P424" i="10"/>
  <c r="P423" i="10"/>
  <c r="P422" i="10"/>
  <c r="P421" i="10"/>
  <c r="P420" i="10"/>
  <c r="P419" i="10"/>
  <c r="P418" i="10"/>
  <c r="P417" i="10"/>
  <c r="P416" i="10"/>
  <c r="P415" i="10"/>
  <c r="P414" i="10"/>
  <c r="P413" i="10"/>
  <c r="P412" i="10"/>
  <c r="P411" i="10"/>
  <c r="P410" i="10"/>
  <c r="P409" i="10"/>
  <c r="P408" i="10"/>
  <c r="P407" i="10"/>
  <c r="P406" i="10"/>
  <c r="P405" i="10"/>
  <c r="P404" i="10"/>
  <c r="P403" i="10"/>
  <c r="P402" i="10"/>
  <c r="P401" i="10"/>
  <c r="P400" i="10"/>
  <c r="P399" i="10"/>
  <c r="P398" i="10"/>
  <c r="P397" i="10"/>
  <c r="P396" i="10"/>
  <c r="P395" i="10"/>
  <c r="P394" i="10"/>
  <c r="P393" i="10"/>
  <c r="P392" i="10"/>
  <c r="P391" i="10"/>
  <c r="P390" i="10"/>
  <c r="P389" i="10"/>
  <c r="P388" i="10"/>
  <c r="P387" i="10"/>
  <c r="P386" i="10"/>
  <c r="P385" i="10"/>
  <c r="P384" i="10"/>
  <c r="P383" i="10"/>
  <c r="P382" i="10"/>
  <c r="P381" i="10"/>
  <c r="P380" i="10"/>
  <c r="P379" i="10"/>
  <c r="P378" i="10"/>
  <c r="P377" i="10"/>
  <c r="P376" i="10"/>
  <c r="P375" i="10"/>
  <c r="P374" i="10"/>
  <c r="P373" i="10"/>
  <c r="P372" i="10"/>
  <c r="P371" i="10"/>
  <c r="P370" i="10"/>
  <c r="P369" i="10"/>
  <c r="P368" i="10"/>
  <c r="P367" i="10"/>
  <c r="P366" i="10"/>
  <c r="P365" i="10"/>
  <c r="P364" i="10"/>
  <c r="P363" i="10"/>
  <c r="P362" i="10"/>
  <c r="P361" i="10"/>
  <c r="P360" i="10"/>
  <c r="P359" i="10"/>
  <c r="P358" i="10"/>
  <c r="P357" i="10"/>
  <c r="P356" i="10"/>
  <c r="P355" i="10"/>
  <c r="P354" i="10"/>
  <c r="P353" i="10"/>
  <c r="P352" i="10"/>
  <c r="P351" i="10"/>
  <c r="P350" i="10"/>
  <c r="P349" i="10"/>
  <c r="P348" i="10"/>
  <c r="P347" i="10"/>
  <c r="P346" i="10"/>
  <c r="P345" i="10"/>
  <c r="P344" i="10"/>
  <c r="P343" i="10"/>
  <c r="P342" i="10"/>
  <c r="P341" i="10"/>
  <c r="P340" i="10"/>
  <c r="P339" i="10"/>
  <c r="P338" i="10"/>
  <c r="P337" i="10"/>
  <c r="P336" i="10"/>
  <c r="P335" i="10"/>
  <c r="P334" i="10"/>
  <c r="P333" i="10"/>
  <c r="P332" i="10"/>
  <c r="P331" i="10"/>
  <c r="P330" i="10"/>
  <c r="P329" i="10"/>
  <c r="P328" i="10"/>
  <c r="P327" i="10"/>
  <c r="P326" i="10"/>
  <c r="P325" i="10"/>
  <c r="P324" i="10"/>
  <c r="P323" i="10"/>
  <c r="P322" i="10"/>
  <c r="P321" i="10"/>
  <c r="P320" i="10"/>
  <c r="P319" i="10"/>
  <c r="P318" i="10"/>
  <c r="P317" i="10"/>
  <c r="P316" i="10"/>
  <c r="P315" i="10"/>
  <c r="P314" i="10"/>
  <c r="P313" i="10"/>
  <c r="P312" i="10"/>
  <c r="P311" i="10"/>
  <c r="P310" i="10"/>
  <c r="P309" i="10"/>
  <c r="P308" i="10"/>
  <c r="P307" i="10"/>
  <c r="P306" i="10"/>
  <c r="P305" i="10"/>
  <c r="P304" i="10"/>
  <c r="P303" i="10"/>
  <c r="P302" i="10"/>
  <c r="P301" i="10"/>
  <c r="P300" i="10"/>
  <c r="P299" i="10"/>
  <c r="P298" i="10"/>
  <c r="P297" i="10"/>
  <c r="P296" i="10"/>
  <c r="P295" i="10"/>
  <c r="P294" i="10"/>
  <c r="P293" i="10"/>
  <c r="P292" i="10"/>
  <c r="P291" i="10"/>
  <c r="P290" i="10"/>
  <c r="P289" i="10"/>
  <c r="P288" i="10"/>
  <c r="P287" i="10"/>
  <c r="P286" i="10"/>
  <c r="P285" i="10"/>
  <c r="P284" i="10"/>
  <c r="P283" i="10"/>
  <c r="P282" i="10"/>
  <c r="P281" i="10"/>
  <c r="P280" i="10"/>
  <c r="P279" i="10"/>
  <c r="P278" i="10"/>
  <c r="P277" i="10"/>
  <c r="P276" i="10"/>
  <c r="P275" i="10"/>
  <c r="P274" i="10"/>
  <c r="P273" i="10"/>
  <c r="P272" i="10"/>
  <c r="P271" i="10"/>
  <c r="P270" i="10"/>
  <c r="P269" i="10"/>
  <c r="P268" i="10"/>
  <c r="P267" i="10"/>
  <c r="P266" i="10"/>
  <c r="P265" i="10"/>
  <c r="P264" i="10"/>
  <c r="P263" i="10"/>
  <c r="P262" i="10"/>
  <c r="P261" i="10"/>
  <c r="P260" i="10"/>
  <c r="P259" i="10"/>
  <c r="P258" i="10"/>
  <c r="P257" i="10"/>
  <c r="P256" i="10"/>
  <c r="P255" i="10"/>
  <c r="P254" i="10"/>
  <c r="P253" i="10"/>
  <c r="P252" i="10"/>
  <c r="P251" i="10"/>
  <c r="P250" i="10"/>
  <c r="P249" i="10"/>
  <c r="P248" i="10"/>
  <c r="P247" i="10"/>
  <c r="P246" i="10"/>
  <c r="P245" i="10"/>
  <c r="P244" i="10"/>
  <c r="P243" i="10"/>
  <c r="P242" i="10"/>
  <c r="P241" i="10"/>
  <c r="P240" i="10"/>
  <c r="P239" i="10"/>
  <c r="P238" i="10"/>
  <c r="P237" i="10"/>
  <c r="P236" i="10"/>
  <c r="P235" i="10"/>
  <c r="P234" i="10"/>
  <c r="P233" i="10"/>
  <c r="P232" i="10"/>
  <c r="P231" i="10"/>
  <c r="P230" i="10"/>
  <c r="P229" i="10"/>
  <c r="P228" i="10"/>
  <c r="P227" i="10"/>
  <c r="P226" i="10"/>
  <c r="P225" i="10"/>
  <c r="P224" i="10"/>
  <c r="P223" i="10"/>
  <c r="P222" i="10"/>
  <c r="P221" i="10"/>
  <c r="P220" i="10"/>
  <c r="P219" i="10"/>
  <c r="P218" i="10"/>
  <c r="P217" i="10"/>
  <c r="P216" i="10"/>
  <c r="P215" i="10"/>
  <c r="P214" i="10"/>
  <c r="P213" i="10"/>
  <c r="P212" i="10"/>
  <c r="P211" i="10"/>
  <c r="P210" i="10"/>
  <c r="P209" i="10"/>
  <c r="P208" i="10"/>
  <c r="P207" i="10"/>
  <c r="P206" i="10"/>
  <c r="P205" i="10"/>
  <c r="P204" i="10"/>
  <c r="P203" i="10"/>
  <c r="P202" i="10"/>
  <c r="P201" i="10"/>
  <c r="P200" i="10"/>
  <c r="P199" i="10"/>
  <c r="P198" i="10"/>
  <c r="P197" i="10"/>
  <c r="P196" i="10"/>
  <c r="P195" i="10"/>
  <c r="P194" i="10"/>
  <c r="P193" i="10"/>
  <c r="P192" i="10"/>
  <c r="P191" i="10"/>
  <c r="P190" i="10"/>
  <c r="P189" i="10"/>
  <c r="P188" i="10"/>
  <c r="P187" i="10"/>
  <c r="P186" i="10"/>
  <c r="P185" i="10"/>
  <c r="P184" i="10"/>
  <c r="P183" i="10"/>
  <c r="P182" i="10"/>
  <c r="P181" i="10"/>
  <c r="P180" i="10"/>
  <c r="P179" i="10"/>
  <c r="P178" i="10"/>
  <c r="P177" i="10"/>
  <c r="P176" i="10"/>
  <c r="P175" i="10"/>
  <c r="P174" i="10"/>
  <c r="P173" i="10"/>
  <c r="P172" i="10"/>
  <c r="P171" i="10"/>
  <c r="P170" i="10"/>
  <c r="P169" i="10"/>
  <c r="P168" i="10"/>
  <c r="P167" i="10"/>
  <c r="P166" i="10"/>
  <c r="P165" i="10"/>
  <c r="P164" i="10"/>
  <c r="P163" i="10"/>
  <c r="P162" i="10"/>
  <c r="P161" i="10"/>
  <c r="P160" i="10"/>
  <c r="P159" i="10"/>
  <c r="P158" i="10"/>
  <c r="P157" i="10"/>
  <c r="P156" i="10"/>
  <c r="P155" i="10"/>
  <c r="P154" i="10"/>
  <c r="P153" i="10"/>
  <c r="P152" i="10"/>
  <c r="P151" i="10"/>
  <c r="P150" i="10"/>
  <c r="P149" i="10"/>
  <c r="P148" i="10"/>
  <c r="P147" i="10"/>
  <c r="P146" i="10"/>
  <c r="P145" i="10"/>
  <c r="P144" i="10"/>
  <c r="P143" i="10"/>
  <c r="P142" i="10"/>
  <c r="P141" i="10"/>
  <c r="P140" i="10"/>
  <c r="P139" i="10"/>
  <c r="P138" i="10"/>
  <c r="P137" i="10"/>
  <c r="P136" i="10"/>
  <c r="P135" i="10"/>
  <c r="P134" i="10"/>
  <c r="P133" i="10"/>
  <c r="P132" i="10"/>
  <c r="P131" i="10"/>
  <c r="P130" i="10"/>
  <c r="P129" i="10"/>
  <c r="P128" i="10"/>
  <c r="P127" i="10"/>
  <c r="P126" i="10"/>
  <c r="P125" i="10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0" i="10"/>
  <c r="P9" i="10"/>
  <c r="P8" i="10"/>
  <c r="P7" i="10"/>
  <c r="P6" i="10"/>
  <c r="P5" i="10"/>
  <c r="P4" i="10"/>
  <c r="P3" i="10"/>
</calcChain>
</file>

<file path=xl/sharedStrings.xml><?xml version="1.0" encoding="utf-8"?>
<sst xmlns="http://schemas.openxmlformats.org/spreadsheetml/2006/main" count="2480" uniqueCount="527">
  <si>
    <t>Breakout Filter</t>
  </si>
  <si>
    <r>
      <rPr>
        <b/>
        <sz val="16"/>
        <color theme="1"/>
        <rFont val="Calibri"/>
        <family val="2"/>
        <scheme val="minor"/>
      </rPr>
      <t>Breakout Filtering Utility</t>
    </r>
    <r>
      <rPr>
        <sz val="12"/>
        <color theme="1"/>
        <rFont val="Calibri"/>
        <family val="2"/>
        <scheme val="minor"/>
      </rPr>
      <t xml:space="preserve">
by Vinay Kumar
vinaybhanukumar@gmail.com</t>
    </r>
  </si>
  <si>
    <t xml:space="preserve"> </t>
  </si>
  <si>
    <t>Scripts</t>
  </si>
  <si>
    <t>Candle</t>
  </si>
  <si>
    <t>Volume</t>
  </si>
  <si>
    <t>Present Open</t>
  </si>
  <si>
    <t>Present High</t>
  </si>
  <si>
    <t>Present Low</t>
  </si>
  <si>
    <t>Present Close</t>
  </si>
  <si>
    <t>Prev High</t>
  </si>
  <si>
    <t>Present Vol</t>
  </si>
  <si>
    <t>Check Chart Here</t>
  </si>
  <si>
    <t>NIFTY 50</t>
  </si>
  <si>
    <t>ADANIPORTS</t>
  </si>
  <si>
    <t>no breakout</t>
  </si>
  <si>
    <t>Green candle</t>
  </si>
  <si>
    <t>Low</t>
  </si>
  <si>
    <t>ASIANPAINT</t>
  </si>
  <si>
    <t>Red candle</t>
  </si>
  <si>
    <t>Average</t>
  </si>
  <si>
    <t>AXISBANK</t>
  </si>
  <si>
    <t>Breakout</t>
  </si>
  <si>
    <t>Good</t>
  </si>
  <si>
    <t>BAJAJ-AUTO</t>
  </si>
  <si>
    <t>Big Sell Wick</t>
  </si>
  <si>
    <t>BAJAJFINSV</t>
  </si>
  <si>
    <t>Date (dd-mmm-yyyy)</t>
  </si>
  <si>
    <t>BAJFINANCE</t>
  </si>
  <si>
    <t>Start from Sl No:</t>
  </si>
  <si>
    <t>BHARTIARTL</t>
  </si>
  <si>
    <t>Scripts analyzed</t>
  </si>
  <si>
    <t>BPCL</t>
  </si>
  <si>
    <t>Start Time</t>
  </si>
  <si>
    <t>BRITANNIA</t>
  </si>
  <si>
    <t>Running time</t>
  </si>
  <si>
    <t>CIPLA</t>
  </si>
  <si>
    <t>Scripted fetched on</t>
  </si>
  <si>
    <t>COALINDIA</t>
  </si>
  <si>
    <t>DIVISLAB</t>
  </si>
  <si>
    <t>DRREDDY</t>
  </si>
  <si>
    <t>www.profiletraders.in</t>
  </si>
  <si>
    <t>EICHERMOT</t>
  </si>
  <si>
    <t>GRASIM</t>
  </si>
  <si>
    <t>HCLTECH</t>
  </si>
  <si>
    <t>HDFC</t>
  </si>
  <si>
    <t>HDFCBANK</t>
  </si>
  <si>
    <t>indrazith.s@gmail.com</t>
  </si>
  <si>
    <t>HDFCLIFE</t>
  </si>
  <si>
    <t>HEROMOTOCO</t>
  </si>
  <si>
    <t>HINDALCO</t>
  </si>
  <si>
    <t>HINDUNILVR</t>
  </si>
  <si>
    <t>ICICIBANK</t>
  </si>
  <si>
    <t>INDUSINDBK</t>
  </si>
  <si>
    <t>INFY</t>
  </si>
  <si>
    <t>IOC</t>
  </si>
  <si>
    <t>ITC</t>
  </si>
  <si>
    <t>JSWSTEEL</t>
  </si>
  <si>
    <t>KOTAKBANK</t>
  </si>
  <si>
    <t>LT</t>
  </si>
  <si>
    <t>M&amp;M</t>
  </si>
  <si>
    <t>MARUTI</t>
  </si>
  <si>
    <t>NESTLEIND</t>
  </si>
  <si>
    <t>NTPC</t>
  </si>
  <si>
    <t>ONGC</t>
  </si>
  <si>
    <t>POWERGRID</t>
  </si>
  <si>
    <t>RELIANCE</t>
  </si>
  <si>
    <t>SBILIFE</t>
  </si>
  <si>
    <t>SBIN</t>
  </si>
  <si>
    <t>SHREECEM</t>
  </si>
  <si>
    <t>SUNPHARMA</t>
  </si>
  <si>
    <t>TATACONSUM</t>
  </si>
  <si>
    <t>TATAMOTORS</t>
  </si>
  <si>
    <t>TATASTEEL</t>
  </si>
  <si>
    <t>TCS</t>
  </si>
  <si>
    <t>TECHM</t>
  </si>
  <si>
    <t>TITAN</t>
  </si>
  <si>
    <t>ULTRACEMCO</t>
  </si>
  <si>
    <t>UPL</t>
  </si>
  <si>
    <t>WIPRO</t>
  </si>
  <si>
    <t>NIFTY F&amp;O</t>
  </si>
  <si>
    <t>AARTIIND</t>
  </si>
  <si>
    <t>ACC</t>
  </si>
  <si>
    <t>ADANIENT</t>
  </si>
  <si>
    <t>ALKEM</t>
  </si>
  <si>
    <t>AMARAJABAT</t>
  </si>
  <si>
    <t>AMBUJACEM</t>
  </si>
  <si>
    <t>APLLTD</t>
  </si>
  <si>
    <t>APOLLOHOSP</t>
  </si>
  <si>
    <t>APOLLOTYRE</t>
  </si>
  <si>
    <t>ASHOKLEY</t>
  </si>
  <si>
    <t>AUBANK</t>
  </si>
  <si>
    <t>AUROPHARMA</t>
  </si>
  <si>
    <t>BALKRISIND</t>
  </si>
  <si>
    <t>BANDHANBNK</t>
  </si>
  <si>
    <t>BANKBARODA</t>
  </si>
  <si>
    <t>BATAINDIA</t>
  </si>
  <si>
    <t>BEL</t>
  </si>
  <si>
    <t>BERGEPAINT</t>
  </si>
  <si>
    <t>BHARATFORG</t>
  </si>
  <si>
    <t>BHEL</t>
  </si>
  <si>
    <t>BIOCON</t>
  </si>
  <si>
    <t>BOSCHLTD</t>
  </si>
  <si>
    <t>CADILAHC</t>
  </si>
  <si>
    <t>CANBK</t>
  </si>
  <si>
    <t>CHOLAFIN</t>
  </si>
  <si>
    <t>COFORGE</t>
  </si>
  <si>
    <t>COLPAL</t>
  </si>
  <si>
    <t>CONCOR</t>
  </si>
  <si>
    <t>CUB</t>
  </si>
  <si>
    <t>CUMMINSIND</t>
  </si>
  <si>
    <t>DABUR</t>
  </si>
  <si>
    <t>DEEPAKNTR</t>
  </si>
  <si>
    <t>DLF</t>
  </si>
  <si>
    <t>ESCORTS</t>
  </si>
  <si>
    <t>EXIDEIND</t>
  </si>
  <si>
    <t>FEDERALBNK</t>
  </si>
  <si>
    <t>GAIL</t>
  </si>
  <si>
    <t>GLENMARK</t>
  </si>
  <si>
    <t>GMRINFRA</t>
  </si>
  <si>
    <t>GODREJCP</t>
  </si>
  <si>
    <t>GODREJPROP</t>
  </si>
  <si>
    <t>GRANULES</t>
  </si>
  <si>
    <t>GUJGASLTD</t>
  </si>
  <si>
    <t>HAVELLS</t>
  </si>
  <si>
    <t>HDFCAMC</t>
  </si>
  <si>
    <t>HINDPETRO</t>
  </si>
  <si>
    <t>IBULHSGFIN</t>
  </si>
  <si>
    <t>ICICIGI</t>
  </si>
  <si>
    <t>ICICIPRULI</t>
  </si>
  <si>
    <t>IDEA</t>
  </si>
  <si>
    <t>IDFCFIRSTB</t>
  </si>
  <si>
    <t>IGL</t>
  </si>
  <si>
    <t>INDIGO</t>
  </si>
  <si>
    <t>INDUSTOWER</t>
  </si>
  <si>
    <t>IRCTC</t>
  </si>
  <si>
    <t>JINDALSTEL</t>
  </si>
  <si>
    <t>JUBLFOOD</t>
  </si>
  <si>
    <t>L&amp;TFH</t>
  </si>
  <si>
    <t>LALPATHLAB</t>
  </si>
  <si>
    <t>LICHSGFIN</t>
  </si>
  <si>
    <t>LTI</t>
  </si>
  <si>
    <t>LTTS</t>
  </si>
  <si>
    <t>LUPIN</t>
  </si>
  <si>
    <t>M&amp;MFIN</t>
  </si>
  <si>
    <t>MANAPPURAM</t>
  </si>
  <si>
    <t>MARICO</t>
  </si>
  <si>
    <t>MCDOWELL-N</t>
  </si>
  <si>
    <t>MFSL</t>
  </si>
  <si>
    <t>MGL</t>
  </si>
  <si>
    <t>MINDTREE</t>
  </si>
  <si>
    <t>MOTHERSUMI</t>
  </si>
  <si>
    <t>MPHASIS</t>
  </si>
  <si>
    <t>MRF</t>
  </si>
  <si>
    <t>MUTHOOTFIN</t>
  </si>
  <si>
    <t>NAM-INDIA</t>
  </si>
  <si>
    <t>NATIONALUM</t>
  </si>
  <si>
    <t>NAUKRI</t>
  </si>
  <si>
    <t>NAVINFLUOR</t>
  </si>
  <si>
    <t>NMDC</t>
  </si>
  <si>
    <t>PAGEIND</t>
  </si>
  <si>
    <t>PEL</t>
  </si>
  <si>
    <t>PETRONET</t>
  </si>
  <si>
    <t>PFC</t>
  </si>
  <si>
    <t>PFIZER</t>
  </si>
  <si>
    <t>PIDILITIND</t>
  </si>
  <si>
    <t>PIIND</t>
  </si>
  <si>
    <t>PNB</t>
  </si>
  <si>
    <t>PVR</t>
  </si>
  <si>
    <t>RAMCOCEM</t>
  </si>
  <si>
    <t>RBLBANK</t>
  </si>
  <si>
    <t>RECLTD</t>
  </si>
  <si>
    <t>SAIL</t>
  </si>
  <si>
    <t>SIEMENS</t>
  </si>
  <si>
    <t>SRF</t>
  </si>
  <si>
    <t>SRTRANSFIN</t>
  </si>
  <si>
    <t>SUNTV</t>
  </si>
  <si>
    <t>TATACHEM</t>
  </si>
  <si>
    <t>TATAPOWER</t>
  </si>
  <si>
    <t>TORNTPHARM</t>
  </si>
  <si>
    <t>TORNTPOWER</t>
  </si>
  <si>
    <t>TRENT</t>
  </si>
  <si>
    <t>TVSMOTOR</t>
  </si>
  <si>
    <t>UBL</t>
  </si>
  <si>
    <t>VEDL</t>
  </si>
  <si>
    <t>VOLTAS</t>
  </si>
  <si>
    <t>ZEEL</t>
  </si>
  <si>
    <t>NIFTY MC150</t>
  </si>
  <si>
    <t>3MINDIA</t>
  </si>
  <si>
    <t>AAVAS</t>
  </si>
  <si>
    <t>ABB</t>
  </si>
  <si>
    <t>ABCAPITAL</t>
  </si>
  <si>
    <t>ABFRL</t>
  </si>
  <si>
    <t>AIAENG</t>
  </si>
  <si>
    <t>AJANTPHARM</t>
  </si>
  <si>
    <t>AKZOINDIA</t>
  </si>
  <si>
    <t>ASTRAL</t>
  </si>
  <si>
    <t>ASTRAZEN</t>
  </si>
  <si>
    <t>ATGL</t>
  </si>
  <si>
    <t>Data not found</t>
  </si>
  <si>
    <t>ATUL</t>
  </si>
  <si>
    <t>BANKINDIA</t>
  </si>
  <si>
    <t>BAYERCROP</t>
  </si>
  <si>
    <t>BBTC</t>
  </si>
  <si>
    <t>CASTROLIND</t>
  </si>
  <si>
    <t>CESC</t>
  </si>
  <si>
    <t>CHOLAHLDNG</t>
  </si>
  <si>
    <t>COROMANDEL</t>
  </si>
  <si>
    <t>CREDITACC</t>
  </si>
  <si>
    <t>CRISIL</t>
  </si>
  <si>
    <t>CROMPTON</t>
  </si>
  <si>
    <t>DALBHARAT</t>
  </si>
  <si>
    <t>DHANI</t>
  </si>
  <si>
    <t>DIXON</t>
  </si>
  <si>
    <t>EMAMILTD</t>
  </si>
  <si>
    <t>ENDURANCE</t>
  </si>
  <si>
    <t>FORTIS</t>
  </si>
  <si>
    <t>GICRE</t>
  </si>
  <si>
    <t>GILLETTE</t>
  </si>
  <si>
    <t>GLAXO</t>
  </si>
  <si>
    <t>GODREJAGRO</t>
  </si>
  <si>
    <t>GODREJIND</t>
  </si>
  <si>
    <t>GSPL</t>
  </si>
  <si>
    <t>HAL</t>
  </si>
  <si>
    <t>HATSUN</t>
  </si>
  <si>
    <t>HINDZINC</t>
  </si>
  <si>
    <t>HONAUT</t>
  </si>
  <si>
    <t>IDBI</t>
  </si>
  <si>
    <t>IIFLWAM</t>
  </si>
  <si>
    <t>INDHOTEL</t>
  </si>
  <si>
    <t>INDIAMART</t>
  </si>
  <si>
    <t>IPCALAB</t>
  </si>
  <si>
    <t>ISEC</t>
  </si>
  <si>
    <t>ITI</t>
  </si>
  <si>
    <t>JKCEMENT</t>
  </si>
  <si>
    <t>JMFINANCIL</t>
  </si>
  <si>
    <t>JSWENERGY</t>
  </si>
  <si>
    <t>KANSAINER</t>
  </si>
  <si>
    <t>LAURUSLABS</t>
  </si>
  <si>
    <t>MAXHEALTH</t>
  </si>
  <si>
    <t>METROPOLIS</t>
  </si>
  <si>
    <t>MINDAIND</t>
  </si>
  <si>
    <t>MOTILALOFS</t>
  </si>
  <si>
    <t>NATCOPHARM</t>
  </si>
  <si>
    <t>NHPC</t>
  </si>
  <si>
    <t>NIACL</t>
  </si>
  <si>
    <t>OBEROIRLTY</t>
  </si>
  <si>
    <t>OFSS</t>
  </si>
  <si>
    <t>OIL</t>
  </si>
  <si>
    <t>PERSISTENT</t>
  </si>
  <si>
    <t>PGHL</t>
  </si>
  <si>
    <t>PHOENIXLTD</t>
  </si>
  <si>
    <t>POLYCAB</t>
  </si>
  <si>
    <t>PRESTIGE</t>
  </si>
  <si>
    <t>RAJESHEXPO</t>
  </si>
  <si>
    <t>RELAXO</t>
  </si>
  <si>
    <t>SANOFI</t>
  </si>
  <si>
    <t>SCHAEFFLER</t>
  </si>
  <si>
    <t>SJVN</t>
  </si>
  <si>
    <t>SKFINDIA</t>
  </si>
  <si>
    <t>SOLARINDS</t>
  </si>
  <si>
    <t>SUMICHEM</t>
  </si>
  <si>
    <t>SUNDARMFIN</t>
  </si>
  <si>
    <t>SUNDRMFAST</t>
  </si>
  <si>
    <t>SUPREMEIND</t>
  </si>
  <si>
    <t>SUVENPHAR</t>
  </si>
  <si>
    <t>SYNGENE</t>
  </si>
  <si>
    <t>TATACOMM</t>
  </si>
  <si>
    <t>TATAELXSI</t>
  </si>
  <si>
    <t>THERMAX</t>
  </si>
  <si>
    <t>TIINDIA</t>
  </si>
  <si>
    <t>TTKPRESTIG</t>
  </si>
  <si>
    <t>UNIONBANK</t>
  </si>
  <si>
    <t>VBL</t>
  </si>
  <si>
    <t>VGUARD</t>
  </si>
  <si>
    <t>VINATIORGA</t>
  </si>
  <si>
    <t>WHIRLPOOL</t>
  </si>
  <si>
    <t>ZYDUSWELL</t>
  </si>
  <si>
    <t>NIFTY MC400</t>
  </si>
  <si>
    <t>AARTIDRUGS</t>
  </si>
  <si>
    <t>ADVENZYMES</t>
  </si>
  <si>
    <t>AEGISCHEM</t>
  </si>
  <si>
    <t>AFFLE</t>
  </si>
  <si>
    <t>ALEMBICLTD</t>
  </si>
  <si>
    <t>ALKYLAMINE</t>
  </si>
  <si>
    <t>ALOKINDS</t>
  </si>
  <si>
    <t>AMBER</t>
  </si>
  <si>
    <t>ANGELBRKG</t>
  </si>
  <si>
    <t>APLAPOLLO</t>
  </si>
  <si>
    <t>ASAHIINDIA</t>
  </si>
  <si>
    <t>ASHOKA</t>
  </si>
  <si>
    <t>ASTERDM</t>
  </si>
  <si>
    <t>AVANTIFEED</t>
  </si>
  <si>
    <t>BAJAJCON</t>
  </si>
  <si>
    <t>BAJAJELEC</t>
  </si>
  <si>
    <t>BALAMINES</t>
  </si>
  <si>
    <t>BALMLAWRIE</t>
  </si>
  <si>
    <t>BALRAMCHIN</t>
  </si>
  <si>
    <t>BASF</t>
  </si>
  <si>
    <t>BDL</t>
  </si>
  <si>
    <t>BEML</t>
  </si>
  <si>
    <t>BHARATRAS</t>
  </si>
  <si>
    <t>BIRLACORPN</t>
  </si>
  <si>
    <t>BLISSGVS</t>
  </si>
  <si>
    <t>BLUEDART</t>
  </si>
  <si>
    <t>BLUESTARCO</t>
  </si>
  <si>
    <t>BRIGADE</t>
  </si>
  <si>
    <t>BSE</t>
  </si>
  <si>
    <t>BSOFT</t>
  </si>
  <si>
    <t>BURGERKING</t>
  </si>
  <si>
    <t>CAMS</t>
  </si>
  <si>
    <t>CANFINHOME</t>
  </si>
  <si>
    <t>CAPLIPOINT</t>
  </si>
  <si>
    <t>CARBORUNIV</t>
  </si>
  <si>
    <t>CCL</t>
  </si>
  <si>
    <t>CDSL</t>
  </si>
  <si>
    <t>CEATLTD</t>
  </si>
  <si>
    <t>CENTRALBK</t>
  </si>
  <si>
    <t>CENTURYPLY</t>
  </si>
  <si>
    <t>CENTURYTEX</t>
  </si>
  <si>
    <t>CERA</t>
  </si>
  <si>
    <t>CGCL</t>
  </si>
  <si>
    <t>CHALET</t>
  </si>
  <si>
    <t>CHAMBLFERT</t>
  </si>
  <si>
    <t>COCHINSHIP</t>
  </si>
  <si>
    <t>CSBBANK</t>
  </si>
  <si>
    <t>CYIENT</t>
  </si>
  <si>
    <t>DBL</t>
  </si>
  <si>
    <t>DCAL</t>
  </si>
  <si>
    <t>DCBBANK</t>
  </si>
  <si>
    <t>DCMSHRIRAM</t>
  </si>
  <si>
    <t>DELTACORP</t>
  </si>
  <si>
    <t>DHANUKA</t>
  </si>
  <si>
    <t>DISHTV</t>
  </si>
  <si>
    <t>ECLERX</t>
  </si>
  <si>
    <t>EDELWEISS</t>
  </si>
  <si>
    <t>EIDPARRY</t>
  </si>
  <si>
    <t>EIHOTEL</t>
  </si>
  <si>
    <t>ELGIEQUIP</t>
  </si>
  <si>
    <t>ENGINERSIN</t>
  </si>
  <si>
    <t>EPL</t>
  </si>
  <si>
    <t>EQUITAS</t>
  </si>
  <si>
    <t>ERIS</t>
  </si>
  <si>
    <t>FCONSUMER</t>
  </si>
  <si>
    <t>FDC</t>
  </si>
  <si>
    <t>FINCABLES</t>
  </si>
  <si>
    <t>FINEORG</t>
  </si>
  <si>
    <t>FINPIPE</t>
  </si>
  <si>
    <t>FLUOROCHEM</t>
  </si>
  <si>
    <t>FRETAIL</t>
  </si>
  <si>
    <t>FSL</t>
  </si>
  <si>
    <t>GAEL</t>
  </si>
  <si>
    <t>GALAXYSURF</t>
  </si>
  <si>
    <t>GARFIBRES</t>
  </si>
  <si>
    <t>GEPIL</t>
  </si>
  <si>
    <t>GESHIP</t>
  </si>
  <si>
    <t>GMMPFAUDLR</t>
  </si>
  <si>
    <t>GNFC</t>
  </si>
  <si>
    <t>GODFRYPHLP</t>
  </si>
  <si>
    <t>GPPL</t>
  </si>
  <si>
    <t>GRAPHITE</t>
  </si>
  <si>
    <t>GREAVESCOT</t>
  </si>
  <si>
    <t>GRINDWELL</t>
  </si>
  <si>
    <t>GRSE</t>
  </si>
  <si>
    <t>GSFC</t>
  </si>
  <si>
    <t>GUJALKALI</t>
  </si>
  <si>
    <t>GULFOILLUB</t>
  </si>
  <si>
    <t>HAPPSTMNDS</t>
  </si>
  <si>
    <t>HEG</t>
  </si>
  <si>
    <t>HEIDELBERG</t>
  </si>
  <si>
    <t>HEMIPROP</t>
  </si>
  <si>
    <t>HFCL</t>
  </si>
  <si>
    <t>HINDCOPPER</t>
  </si>
  <si>
    <t>HSCL</t>
  </si>
  <si>
    <t>HUDCO</t>
  </si>
  <si>
    <t>HUHTAMAKI</t>
  </si>
  <si>
    <t>IBREALEST</t>
  </si>
  <si>
    <t>ICIL</t>
  </si>
  <si>
    <t>IDFC</t>
  </si>
  <si>
    <t>IEX</t>
  </si>
  <si>
    <t>IFBIND</t>
  </si>
  <si>
    <t>IIFL</t>
  </si>
  <si>
    <t>INDIACEM</t>
  </si>
  <si>
    <t>INDIANB</t>
  </si>
  <si>
    <t>INDOCO</t>
  </si>
  <si>
    <t>INFIBEAM</t>
  </si>
  <si>
    <t>INGERRAND</t>
  </si>
  <si>
    <t>INOXLEISUR</t>
  </si>
  <si>
    <t>INTELLECT</t>
  </si>
  <si>
    <t>IOB</t>
  </si>
  <si>
    <t>IOLCP</t>
  </si>
  <si>
    <t>IRB</t>
  </si>
  <si>
    <t>IRCON</t>
  </si>
  <si>
    <t>JAMNAAUTO</t>
  </si>
  <si>
    <t>JBCHEPHARM</t>
  </si>
  <si>
    <t>JCHAC</t>
  </si>
  <si>
    <t>JINDALSAW</t>
  </si>
  <si>
    <t>JKLAKSHMI</t>
  </si>
  <si>
    <t>JKPAPER</t>
  </si>
  <si>
    <t>JKTYRE</t>
  </si>
  <si>
    <t>JSL</t>
  </si>
  <si>
    <t>JSLHISAR</t>
  </si>
  <si>
    <t>JTEKTINDIA</t>
  </si>
  <si>
    <t>JUSTDIAL</t>
  </si>
  <si>
    <t>JYOTHYLAB</t>
  </si>
  <si>
    <t>KAJARIACER</t>
  </si>
  <si>
    <t>KALPATPOWR</t>
  </si>
  <si>
    <t>KARURVYSYA</t>
  </si>
  <si>
    <t>KEC</t>
  </si>
  <si>
    <t>KEI</t>
  </si>
  <si>
    <t>KNRCON</t>
  </si>
  <si>
    <t>KPITTECH</t>
  </si>
  <si>
    <t>KPRMILL</t>
  </si>
  <si>
    <t>KRBL</t>
  </si>
  <si>
    <t>KSB</t>
  </si>
  <si>
    <t>KSCL</t>
  </si>
  <si>
    <t>LAOPALA</t>
  </si>
  <si>
    <t>LAXMIMACH</t>
  </si>
  <si>
    <t>LEMONTREE</t>
  </si>
  <si>
    <t>LINDEINDIA</t>
  </si>
  <si>
    <t>LUXIND</t>
  </si>
  <si>
    <t>MAHABANK</t>
  </si>
  <si>
    <t>MAHINDCIE</t>
  </si>
  <si>
    <t>MAHLOG</t>
  </si>
  <si>
    <t>MAHSCOOTER</t>
  </si>
  <si>
    <t>MAHSEAMLES</t>
  </si>
  <si>
    <t>MASFIN</t>
  </si>
  <si>
    <t>MAZDOCK</t>
  </si>
  <si>
    <t>MCX</t>
  </si>
  <si>
    <t>MHRIL</t>
  </si>
  <si>
    <t>MIDHANI</t>
  </si>
  <si>
    <t>MINDACORP</t>
  </si>
  <si>
    <t>MMTC</t>
  </si>
  <si>
    <t>MOIL</t>
  </si>
  <si>
    <t>MRPL</t>
  </si>
  <si>
    <t>NBCC</t>
  </si>
  <si>
    <t>NCC</t>
  </si>
  <si>
    <t>NESCO</t>
  </si>
  <si>
    <t>NETWORK18</t>
  </si>
  <si>
    <t>NFL</t>
  </si>
  <si>
    <t>NH</t>
  </si>
  <si>
    <t>NILKAMAL</t>
  </si>
  <si>
    <t>NLCINDIA</t>
  </si>
  <si>
    <t>NOCIL</t>
  </si>
  <si>
    <t>ORIENTELEC</t>
  </si>
  <si>
    <t>ORIENTREF</t>
  </si>
  <si>
    <t>PHILIPCARB</t>
  </si>
  <si>
    <t>PNBHOUSING</t>
  </si>
  <si>
    <t>PNCINFRA</t>
  </si>
  <si>
    <t>POLYMED</t>
  </si>
  <si>
    <t>POLYPLEX</t>
  </si>
  <si>
    <t>POWERINDIA</t>
  </si>
  <si>
    <t>PRINCEPIPE</t>
  </si>
  <si>
    <t>PRSMJOHNSN</t>
  </si>
  <si>
    <t>QUESS</t>
  </si>
  <si>
    <t>RADICO</t>
  </si>
  <si>
    <t>RAIN</t>
  </si>
  <si>
    <t>RALLIS</t>
  </si>
  <si>
    <t>RATNAMANI</t>
  </si>
  <si>
    <t>RAYMOND</t>
  </si>
  <si>
    <t>RCF</t>
  </si>
  <si>
    <t>REDINGTON</t>
  </si>
  <si>
    <t>RESPONIND</t>
  </si>
  <si>
    <t>RITES</t>
  </si>
  <si>
    <t>ROSSARI</t>
  </si>
  <si>
    <t>ROUTE</t>
  </si>
  <si>
    <t>RVNL</t>
  </si>
  <si>
    <t>SCHNEIDER</t>
  </si>
  <si>
    <t>SCI</t>
  </si>
  <si>
    <t>SEQUENT</t>
  </si>
  <si>
    <t>SFL</t>
  </si>
  <si>
    <t>SHARDACROP</t>
  </si>
  <si>
    <t>SHILPAMED</t>
  </si>
  <si>
    <t>SHOPERSTOP</t>
  </si>
  <si>
    <t>SHRIRAMCIT</t>
  </si>
  <si>
    <t>SIS</t>
  </si>
  <si>
    <t>SOBHA</t>
  </si>
  <si>
    <t>SOLARA</t>
  </si>
  <si>
    <t>SONATSOFTW</t>
  </si>
  <si>
    <t>SPANDANA</t>
  </si>
  <si>
    <t>SPARC</t>
  </si>
  <si>
    <t>SPICEJET</t>
  </si>
  <si>
    <t>STAR</t>
  </si>
  <si>
    <t>STARCEMENT</t>
  </si>
  <si>
    <t>STLTECH</t>
  </si>
  <si>
    <t>SUDARSCHEM</t>
  </si>
  <si>
    <t>SUNCLAYLTD</t>
  </si>
  <si>
    <t>SUNTECK</t>
  </si>
  <si>
    <t>SUPPETRO</t>
  </si>
  <si>
    <t>SUPRAJIT</t>
  </si>
  <si>
    <t>SUZLON</t>
  </si>
  <si>
    <t>SWANENERGY</t>
  </si>
  <si>
    <t>SWSOLAR</t>
  </si>
  <si>
    <t>SYMPHONY</t>
  </si>
  <si>
    <t>TANLA</t>
  </si>
  <si>
    <t>TASTYBITE</t>
  </si>
  <si>
    <t>TATACOFFEE</t>
  </si>
  <si>
    <t>TATAINVEST</t>
  </si>
  <si>
    <t>TCIEXP</t>
  </si>
  <si>
    <t>TCNSBRANDS</t>
  </si>
  <si>
    <t>TEAMLEASE</t>
  </si>
  <si>
    <t>THYROCARE</t>
  </si>
  <si>
    <t>TIMKEN</t>
  </si>
  <si>
    <t>TRIDENT</t>
  </si>
  <si>
    <t>TRITURBINE</t>
  </si>
  <si>
    <t>TV18BRDCST</t>
  </si>
  <si>
    <t>UCOBANK</t>
  </si>
  <si>
    <t>UFLEX</t>
  </si>
  <si>
    <t>UJJIVAN</t>
  </si>
  <si>
    <t>UJJIVANSFB</t>
  </si>
  <si>
    <t>UTIAMC</t>
  </si>
  <si>
    <t>VAIBHAVGBL</t>
  </si>
  <si>
    <t>VAKRANGEE</t>
  </si>
  <si>
    <t>VALIANTORG</t>
  </si>
  <si>
    <t>VARROC</t>
  </si>
  <si>
    <t>VENKEYS</t>
  </si>
  <si>
    <t>VIPIND</t>
  </si>
  <si>
    <t>VMART</t>
  </si>
  <si>
    <t>VSTIND</t>
  </si>
  <si>
    <t>VTL</t>
  </si>
  <si>
    <t>WABCOINDIA</t>
  </si>
  <si>
    <t>WELCORP</t>
  </si>
  <si>
    <t>WELSPUNIND</t>
  </si>
  <si>
    <t>WESTLIFE</t>
  </si>
  <si>
    <t>WOCKPHARMA</t>
  </si>
  <si>
    <t>ZENSARTECH</t>
  </si>
  <si>
    <t>Doji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</si>
</sst>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[$-409]d\-mmm\-yy;@"/>
    <numFmt numFmtId="166" formatCode="[$-409]d\-mmm\-yyyy;@"/>
  </numFmts>
  <fonts count="8" x14ac:knownFonts="1"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165" fontId="0" fillId="0" borderId="0"/>
    <xf numFmtId="165" fontId="3" fillId="0" borderId="0" applyNumberFormat="0" applyFill="0" applyBorder="0" applyAlignment="0" applyProtection="0"/>
  </cellStyleXfs>
  <cellXfs count="27">
    <xf numFmtId="165" fontId="0" fillId="0" borderId="0" xfId="0"/>
    <xf numFmtId="165" fontId="0" fillId="0" borderId="1" xfId="0" applyBorder="1"/>
    <xf numFmtId="165" fontId="0" fillId="0" borderId="0" xfId="0" applyAlignment="1">
      <alignment horizontal="center" vertical="center"/>
    </xf>
    <xf numFmtId="165" fontId="0" fillId="0" borderId="0" xfId="0" applyAlignment="1">
      <alignment horizont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2" borderId="1" xfId="0" applyNumberFormat="1" applyFill="1" applyBorder="1" applyAlignment="1">
      <alignment horizontal="center" vertical="center"/>
    </xf>
    <xf numFmtId="2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65" fontId="2" fillId="3" borderId="0" xfId="0" applyFont="1" applyFill="1"/>
    <xf numFmtId="165" fontId="3" fillId="0" borderId="0" xfId="1"/>
    <xf numFmtId="165" fontId="4" fillId="4" borderId="0" xfId="0" applyFont="1" applyFill="1" applyAlignment="1">
      <alignment horizontal="center"/>
    </xf>
    <xf numFmtId="0" fontId="3" fillId="0" borderId="0" xfId="1" applyNumberFormat="1"/>
    <xf numFmtId="0" fontId="0" fillId="6" borderId="0" xfId="0" applyNumberFormat="1" applyFill="1"/>
    <xf numFmtId="0" fontId="0" fillId="7" borderId="0" xfId="0" applyNumberFormat="1" applyFill="1"/>
    <xf numFmtId="0" fontId="0" fillId="2" borderId="0" xfId="0" applyNumberFormat="1" applyFill="1"/>
    <xf numFmtId="165" fontId="0" fillId="0" borderId="2" xfId="0" applyBorder="1" applyAlignment="1">
      <alignment horizontal="center" vertical="center" wrapText="1"/>
    </xf>
    <xf numFmtId="165" fontId="0" fillId="0" borderId="3" xfId="0" applyBorder="1" applyAlignment="1">
      <alignment horizontal="center" vertical="center" wrapText="1"/>
    </xf>
    <xf numFmtId="165" fontId="0" fillId="0" borderId="4" xfId="0" applyBorder="1" applyAlignment="1">
      <alignment horizontal="center" vertical="center" wrapText="1"/>
    </xf>
    <xf numFmtId="165" fontId="0" fillId="0" borderId="5" xfId="0" applyBorder="1" applyAlignment="1">
      <alignment horizontal="center" vertical="center" wrapText="1"/>
    </xf>
    <xf numFmtId="165" fontId="0" fillId="5" borderId="5" xfId="0" applyFill="1" applyBorder="1" applyAlignment="1">
      <alignment horizontal="center" vertical="center" wrapText="1"/>
    </xf>
    <xf numFmtId="165" fontId="0" fillId="0" borderId="6" xfId="0" applyBorder="1" applyAlignment="1">
      <alignment horizontal="center" vertical="center" wrapText="1"/>
    </xf>
    <xf numFmtId="165" fontId="0" fillId="0" borderId="7" xfId="0" applyBorder="1" applyAlignment="1">
      <alignment horizontal="center" vertical="center" wrapText="1"/>
    </xf>
    <xf numFmtId="165" fontId="5" fillId="5" borderId="0" xfId="1" applyFont="1" applyFill="1" applyAlignment="1"/>
    <xf numFmtId="165" fontId="6" fillId="5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38100</xdr:rowOff>
        </xdr:from>
        <xdr:to>
          <xdr:col>2</xdr:col>
          <xdr:colOff>1657350</xdr:colOff>
          <xdr:row>2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</xdr:row>
          <xdr:rowOff>152400</xdr:rowOff>
        </xdr:from>
        <xdr:to>
          <xdr:col>2</xdr:col>
          <xdr:colOff>1657350</xdr:colOff>
          <xdr:row>5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6</xdr:row>
          <xdr:rowOff>38100</xdr:rowOff>
        </xdr:from>
        <xdr:to>
          <xdr:col>2</xdr:col>
          <xdr:colOff>1647825</xdr:colOff>
          <xdr:row>7</xdr:row>
          <xdr:rowOff>133350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9</xdr:row>
          <xdr:rowOff>28575</xdr:rowOff>
        </xdr:from>
        <xdr:to>
          <xdr:col>2</xdr:col>
          <xdr:colOff>1657350</xdr:colOff>
          <xdr:row>10</xdr:row>
          <xdr:rowOff>133350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Script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12</xdr:row>
          <xdr:rowOff>9525</xdr:rowOff>
        </xdr:from>
        <xdr:to>
          <xdr:col>2</xdr:col>
          <xdr:colOff>1600200</xdr:colOff>
          <xdr:row>13</xdr:row>
          <xdr:rowOff>152400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Script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indrazith.s@gmail.com" TargetMode="External"/><Relationship Id="rId1" Type="http://schemas.openxmlformats.org/officeDocument/2006/relationships/hyperlink" Target="http://www.profiletraders.in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3050"/>
  <sheetViews>
    <sheetView tabSelected="1" topLeftCell="A49" zoomScale="74" zoomScaleNormal="74" workbookViewId="0">
      <selection activeCell="A81" sqref="A81:XFD81"/>
    </sheetView>
  </sheetViews>
  <sheetFormatPr defaultRowHeight="15.75" x14ac:dyDescent="0.25"/>
  <cols>
    <col min="1" max="1" width="18.75" bestFit="1" customWidth="1"/>
    <col min="2" max="2" width="16.75" customWidth="1"/>
    <col min="3" max="3" width="22.25" customWidth="1"/>
    <col min="4" max="4" width="11.875" bestFit="1" customWidth="1"/>
    <col min="5" max="5" width="4.75" style="5" customWidth="1"/>
    <col min="6" max="6" width="13.625" bestFit="1" customWidth="1"/>
    <col min="7" max="7" width="13.875" customWidth="1"/>
    <col min="8" max="8" width="12.25" style="3" customWidth="1"/>
    <col min="9" max="9" width="9.625" style="2" customWidth="1"/>
    <col min="10" max="10" width="13.25" style="3" bestFit="1" customWidth="1"/>
    <col min="11" max="11" width="14" style="3" customWidth="1"/>
    <col min="12" max="12" width="15.125" style="3" customWidth="1"/>
    <col min="13" max="13" width="14.25" bestFit="1" customWidth="1"/>
    <col min="14" max="14" width="9.25" style="6" bestFit="1" customWidth="1"/>
    <col min="15" max="15" width="13.25" style="6" bestFit="1" customWidth="1"/>
    <col min="16" max="16" width="26" customWidth="1"/>
    <col min="20" max="20" width="10.25" bestFit="1" customWidth="1"/>
  </cols>
  <sheetData>
    <row r="1" spans="1:20" ht="16.5" thickBot="1" x14ac:dyDescent="0.3">
      <c r="G1" s="11" t="s">
        <v>0</v>
      </c>
    </row>
    <row r="2" spans="1:20" x14ac:dyDescent="0.25">
      <c r="A2" s="18" t="s">
        <v>1</v>
      </c>
      <c r="B2" s="19"/>
      <c r="D2" t="s">
        <v>2</v>
      </c>
      <c r="E2" s="5" t="s">
        <v>2</v>
      </c>
      <c r="F2" s="2" t="s">
        <v>3</v>
      </c>
      <c r="G2">
        <v>44852</v>
      </c>
      <c r="H2" s="3" t="s">
        <v>4</v>
      </c>
      <c r="I2" s="2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6" t="s">
        <v>10</v>
      </c>
      <c r="O2" s="6" t="s">
        <v>11</v>
      </c>
      <c r="P2" s="13" t="s">
        <v>12</v>
      </c>
    </row>
    <row r="3" spans="1:20" ht="15.75" customHeight="1" x14ac:dyDescent="0.25">
      <c r="A3" s="20"/>
      <c r="B3" s="21"/>
      <c r="D3" s="6" t="s">
        <v>13</v>
      </c>
      <c r="E3" s="6">
        <v>1</v>
      </c>
      <c r="F3" s="6" t="s">
        <v>14</v>
      </c>
      <c r="G3" s="16" t="s">
        <v>15</v>
      </c>
      <c r="H3" s="15" t="s">
        <v>16</v>
      </c>
      <c r="I3" s="17" t="s">
        <v>20</v>
      </c>
      <c r="J3" s="6">
        <v>791.45</v>
      </c>
      <c r="K3" s="6">
        <v>815</v>
      </c>
      <c r="L3" s="6">
        <v>790.5</v>
      </c>
      <c r="M3" s="6">
        <v>809.95</v>
      </c>
      <c r="N3" s="6">
        <v>811.75</v>
      </c>
      <c r="O3" s="6">
        <v>7372253</v>
      </c>
      <c r="P3" s="14" t="str">
        <f>HYPERLINK("https://gocharting.com/terminal?ticker=NSE:ADANIPORTS&amp;layout=1","click here to view the chart")</f>
        <v>click here to view the chart</v>
      </c>
    </row>
    <row r="4" spans="1:20" x14ac:dyDescent="0.25">
      <c r="A4" s="20"/>
      <c r="B4" s="22"/>
      <c r="D4" s="6" t="s">
        <v>13</v>
      </c>
      <c r="E4" s="6">
        <v>2</v>
      </c>
      <c r="F4" s="6" t="s">
        <v>18</v>
      </c>
      <c r="G4" s="16" t="s">
        <v>15</v>
      </c>
      <c r="H4" s="15" t="s">
        <v>16</v>
      </c>
      <c r="I4" s="16" t="s">
        <v>17</v>
      </c>
      <c r="J4" s="6">
        <v>3218</v>
      </c>
      <c r="K4" s="6">
        <v>3250</v>
      </c>
      <c r="L4" s="6">
        <v>3212</v>
      </c>
      <c r="M4" s="6">
        <v>3225.85</v>
      </c>
      <c r="N4" s="6">
        <v>3339.5</v>
      </c>
      <c r="O4" s="6">
        <v>1015424</v>
      </c>
      <c r="P4" s="14" t="str">
        <f>HYPERLINK("https://gocharting.com/terminal?ticker=NSE:ASIANPAINT&amp;layout=1","click here to view the chart")</f>
        <v>click here to view the chart</v>
      </c>
    </row>
    <row r="5" spans="1:20" x14ac:dyDescent="0.25">
      <c r="A5" s="20"/>
      <c r="B5" s="21"/>
      <c r="D5" s="6" t="s">
        <v>13</v>
      </c>
      <c r="E5" s="6">
        <v>3</v>
      </c>
      <c r="F5" s="6" t="s">
        <v>21</v>
      </c>
      <c r="G5" s="16" t="s">
        <v>19</v>
      </c>
      <c r="H5" s="16" t="s">
        <v>19</v>
      </c>
      <c r="I5" s="16" t="s">
        <v>17</v>
      </c>
      <c r="J5" s="6">
        <v>820</v>
      </c>
      <c r="K5" s="6">
        <v>822.9</v>
      </c>
      <c r="L5" s="6">
        <v>811.55</v>
      </c>
      <c r="M5" s="6">
        <v>816.35</v>
      </c>
      <c r="N5" s="6">
        <v>820.7</v>
      </c>
      <c r="O5" s="6">
        <v>8470882</v>
      </c>
      <c r="P5" s="14" t="str">
        <f>HYPERLINK("https://gocharting.com/terminal?ticker=NSE:AXISBANK&amp;layout=1","click here to view the chart")</f>
        <v>click here to view the chart</v>
      </c>
    </row>
    <row r="6" spans="1:20" ht="16.5" thickBot="1" x14ac:dyDescent="0.3">
      <c r="A6" s="23"/>
      <c r="B6" s="24"/>
      <c r="D6" s="6" t="s">
        <v>13</v>
      </c>
      <c r="E6" s="6">
        <v>4</v>
      </c>
      <c r="F6" s="6" t="s">
        <v>24</v>
      </c>
      <c r="G6" s="16" t="s">
        <v>19</v>
      </c>
      <c r="H6" s="16" t="s">
        <v>19</v>
      </c>
      <c r="I6" s="17" t="s">
        <v>20</v>
      </c>
      <c r="J6" s="6">
        <v>3647.15</v>
      </c>
      <c r="K6" s="6">
        <v>3664.85</v>
      </c>
      <c r="L6" s="6">
        <v>3602.1</v>
      </c>
      <c r="M6" s="6">
        <v>3611.3</v>
      </c>
      <c r="N6" s="6">
        <v>3674.8</v>
      </c>
      <c r="O6" s="6">
        <v>496519</v>
      </c>
      <c r="P6" s="14" t="str">
        <f>HYPERLINK("https://gocharting.com/terminal?ticker=NSE:BAJAJ-AUTO&amp;layout=1","click here to view the chart")</f>
        <v>click here to view the chart</v>
      </c>
    </row>
    <row r="7" spans="1:20" x14ac:dyDescent="0.25">
      <c r="D7" s="6" t="s">
        <v>13</v>
      </c>
      <c r="E7" s="6">
        <v>5</v>
      </c>
      <c r="F7" s="6" t="s">
        <v>26</v>
      </c>
      <c r="G7" s="16" t="s">
        <v>19</v>
      </c>
      <c r="H7" s="16" t="s">
        <v>19</v>
      </c>
      <c r="I7" s="17" t="s">
        <v>20</v>
      </c>
      <c r="J7" s="6">
        <v>1730</v>
      </c>
      <c r="K7" s="6">
        <v>1736.25</v>
      </c>
      <c r="L7" s="6">
        <v>1712</v>
      </c>
      <c r="M7" s="6">
        <v>1726.25</v>
      </c>
      <c r="N7" s="6">
        <v>1725</v>
      </c>
      <c r="O7" s="6">
        <v>1661431</v>
      </c>
      <c r="P7" s="14" t="str">
        <f>HYPERLINK("https://gocharting.com/terminal?ticker=NSE:BAJAJFINSV&amp;layout=1","click here to view the chart")</f>
        <v>click here to view the chart</v>
      </c>
    </row>
    <row r="8" spans="1:20" x14ac:dyDescent="0.25">
      <c r="A8" s="1" t="s">
        <v>27</v>
      </c>
      <c r="B8" s="10">
        <v>44852</v>
      </c>
      <c r="D8" s="6" t="s">
        <v>13</v>
      </c>
      <c r="E8" s="6">
        <v>6</v>
      </c>
      <c r="F8" s="6" t="s">
        <v>28</v>
      </c>
      <c r="G8" s="16" t="s">
        <v>19</v>
      </c>
      <c r="H8" s="16" t="s">
        <v>19</v>
      </c>
      <c r="I8" s="17" t="s">
        <v>20</v>
      </c>
      <c r="J8" s="6">
        <v>7400</v>
      </c>
      <c r="K8" s="6">
        <v>7430</v>
      </c>
      <c r="L8" s="6">
        <v>7321</v>
      </c>
      <c r="M8" s="6">
        <v>7390.4</v>
      </c>
      <c r="N8" s="6">
        <v>7372.3</v>
      </c>
      <c r="O8" s="6">
        <v>906975</v>
      </c>
      <c r="P8" s="14" t="str">
        <f>HYPERLINK("https://gocharting.com/terminal?ticker=NSE:BAJFINANCE&amp;layout=1","click here to view the chart")</f>
        <v>click here to view the chart</v>
      </c>
    </row>
    <row r="9" spans="1:20" x14ac:dyDescent="0.25">
      <c r="A9" s="1" t="s">
        <v>29</v>
      </c>
      <c r="B9" s="7">
        <v>1</v>
      </c>
      <c r="D9" s="6" t="s">
        <v>13</v>
      </c>
      <c r="E9" s="6">
        <v>7</v>
      </c>
      <c r="F9" s="6" t="s">
        <v>30</v>
      </c>
      <c r="G9" s="15" t="s">
        <v>22</v>
      </c>
      <c r="H9" s="15" t="s">
        <v>16</v>
      </c>
      <c r="I9" s="16" t="s">
        <v>17</v>
      </c>
      <c r="J9" s="6">
        <v>769.85</v>
      </c>
      <c r="K9" s="6">
        <v>785.6</v>
      </c>
      <c r="L9" s="6">
        <v>768.65</v>
      </c>
      <c r="M9" s="6">
        <v>783.15</v>
      </c>
      <c r="N9" s="6">
        <v>781.35</v>
      </c>
      <c r="O9" s="6">
        <v>4391263</v>
      </c>
      <c r="P9" s="14" t="str">
        <f>HYPERLINK("https://gocharting.com/terminal?ticker=NSE:BHARTIARTL&amp;layout=1","click here to view the chart")</f>
        <v>click here to view the chart</v>
      </c>
    </row>
    <row r="10" spans="1:20" x14ac:dyDescent="0.25">
      <c r="A10" s="1" t="s">
        <v>31</v>
      </c>
      <c r="B10" s="4">
        <v>492</v>
      </c>
      <c r="D10" s="6" t="s">
        <v>13</v>
      </c>
      <c r="E10" s="6">
        <v>8</v>
      </c>
      <c r="F10" s="6" t="s">
        <v>32</v>
      </c>
      <c r="G10" s="16" t="s">
        <v>19</v>
      </c>
      <c r="H10" s="16" t="s">
        <v>19</v>
      </c>
      <c r="I10" s="16" t="s">
        <v>17</v>
      </c>
      <c r="J10" s="6">
        <v>298.05</v>
      </c>
      <c r="K10" s="6">
        <v>298.3</v>
      </c>
      <c r="L10" s="6">
        <v>294.05</v>
      </c>
      <c r="M10" s="6">
        <v>295.75</v>
      </c>
      <c r="N10" s="6">
        <v>309.25</v>
      </c>
      <c r="O10" s="6">
        <v>3287463</v>
      </c>
      <c r="P10" s="14" t="str">
        <f>HYPERLINK("https://gocharting.com/terminal?ticker=NSE:BPCL&amp;layout=1","click here to view the chart")</f>
        <v>click here to view the chart</v>
      </c>
    </row>
    <row r="11" spans="1:20" x14ac:dyDescent="0.25">
      <c r="A11" s="1" t="s">
        <v>33</v>
      </c>
      <c r="B11" s="8">
        <v>44853.130601851852</v>
      </c>
      <c r="D11" s="6" t="s">
        <v>13</v>
      </c>
      <c r="E11" s="6">
        <v>9</v>
      </c>
      <c r="F11" s="6" t="s">
        <v>34</v>
      </c>
      <c r="G11" s="16" t="s">
        <v>19</v>
      </c>
      <c r="H11" s="16" t="s">
        <v>19</v>
      </c>
      <c r="I11" s="16" t="s">
        <v>17</v>
      </c>
      <c r="J11" s="6">
        <v>3796.6</v>
      </c>
      <c r="K11" s="6">
        <v>3804.95</v>
      </c>
      <c r="L11" s="6">
        <v>3748.6</v>
      </c>
      <c r="M11" s="6">
        <v>3766.85</v>
      </c>
      <c r="N11" s="6">
        <v>3814.9</v>
      </c>
      <c r="O11" s="6">
        <v>189866</v>
      </c>
      <c r="P11" s="14" t="b">
        <f>B8=HYPERLINK("https://gocharting.com/terminal?ticker=NSE:BRITANNIA&amp;layout=1","click here to view the chart")</f>
        <v>0</v>
      </c>
    </row>
    <row r="12" spans="1:20" x14ac:dyDescent="0.25">
      <c r="A12" s="1" t="s">
        <v>35</v>
      </c>
      <c r="B12" s="9">
        <v>8.182870369637385E-3</v>
      </c>
      <c r="D12" s="6" t="s">
        <v>13</v>
      </c>
      <c r="E12" s="6">
        <v>10</v>
      </c>
      <c r="F12" s="6" t="s">
        <v>36</v>
      </c>
      <c r="G12" s="16" t="s">
        <v>15</v>
      </c>
      <c r="H12" s="15" t="s">
        <v>16</v>
      </c>
      <c r="I12" s="16" t="s">
        <v>17</v>
      </c>
      <c r="J12" s="6">
        <v>1113.7</v>
      </c>
      <c r="K12" s="6">
        <v>1130.2</v>
      </c>
      <c r="L12" s="6">
        <v>1110.3</v>
      </c>
      <c r="M12" s="6">
        <v>1125.8499999999999</v>
      </c>
      <c r="N12" s="6">
        <v>1127.8499999999999</v>
      </c>
      <c r="O12" s="6">
        <v>960283</v>
      </c>
      <c r="P12" s="14" t="str">
        <f>HYPERLINK("https://gocharting.com/terminal?ticker=NSE:CIPLA&amp;layout=1","click here to view the chart")</f>
        <v>click here to view the chart</v>
      </c>
    </row>
    <row r="13" spans="1:20" x14ac:dyDescent="0.25">
      <c r="A13" s="1" t="s">
        <v>37</v>
      </c>
      <c r="B13" s="8">
        <v>44333.801562499997</v>
      </c>
      <c r="D13" s="6" t="s">
        <v>13</v>
      </c>
      <c r="E13" s="6">
        <v>11</v>
      </c>
      <c r="F13" s="6" t="s">
        <v>38</v>
      </c>
      <c r="G13" s="15" t="s">
        <v>22</v>
      </c>
      <c r="H13" s="15" t="s">
        <v>16</v>
      </c>
      <c r="I13" s="16" t="s">
        <v>17</v>
      </c>
      <c r="J13" s="6">
        <v>238.5</v>
      </c>
      <c r="K13" s="6">
        <v>242.15</v>
      </c>
      <c r="L13" s="6">
        <v>236.85</v>
      </c>
      <c r="M13" s="6">
        <v>241.7</v>
      </c>
      <c r="N13" s="6">
        <v>238.95</v>
      </c>
      <c r="O13" s="6">
        <v>6674374</v>
      </c>
      <c r="P13" s="14" t="str">
        <f>HYPERLINK("https://gocharting.com/terminal?ticker=NSE:COALINDIA&amp;layout=1","click here to view the chart")</f>
        <v>click here to view the chart</v>
      </c>
    </row>
    <row r="14" spans="1:20" x14ac:dyDescent="0.25">
      <c r="D14" s="6" t="s">
        <v>13</v>
      </c>
      <c r="E14" s="6">
        <v>12</v>
      </c>
      <c r="F14" s="6" t="s">
        <v>39</v>
      </c>
      <c r="G14" s="16" t="s">
        <v>19</v>
      </c>
      <c r="H14" s="16" t="s">
        <v>19</v>
      </c>
      <c r="I14" s="16" t="s">
        <v>17</v>
      </c>
      <c r="J14" s="6">
        <v>3588</v>
      </c>
      <c r="K14" s="6">
        <v>3598</v>
      </c>
      <c r="L14" s="6">
        <v>3563</v>
      </c>
      <c r="M14" s="6">
        <v>3572.25</v>
      </c>
      <c r="N14" s="6">
        <v>3602.8</v>
      </c>
      <c r="O14" s="6">
        <v>300258</v>
      </c>
      <c r="P14" s="14" t="str">
        <f>HYPERLINK("https://gocharting.com/terminal?ticker=NSE:DIVISLAB&amp;layout=1","click here to view the chart")</f>
        <v>click here to view the chart</v>
      </c>
      <c r="T14" s="6"/>
    </row>
    <row r="15" spans="1:20" x14ac:dyDescent="0.25">
      <c r="D15" s="6" t="s">
        <v>13</v>
      </c>
      <c r="E15" s="6">
        <v>13</v>
      </c>
      <c r="F15" s="6" t="s">
        <v>40</v>
      </c>
      <c r="G15" s="16" t="s">
        <v>19</v>
      </c>
      <c r="H15" s="16" t="s">
        <v>19</v>
      </c>
      <c r="I15" s="16" t="s">
        <v>17</v>
      </c>
      <c r="J15" s="6">
        <v>4356.8999999999996</v>
      </c>
      <c r="K15" s="6">
        <v>4373.6499999999996</v>
      </c>
      <c r="L15" s="6">
        <v>4335.2</v>
      </c>
      <c r="M15" s="6">
        <v>4356.55</v>
      </c>
      <c r="N15" s="6">
        <v>4374</v>
      </c>
      <c r="O15" s="6">
        <v>144236</v>
      </c>
      <c r="P15" s="14" t="str">
        <f>HYPERLINK("https://gocharting.com/terminal?ticker=NSE:DRREDDY&amp;layout=1","click here to view the chart")</f>
        <v>click here to view the chart</v>
      </c>
      <c r="T15" s="6"/>
    </row>
    <row r="16" spans="1:20" ht="21" x14ac:dyDescent="0.35">
      <c r="A16" s="25" t="s">
        <v>41</v>
      </c>
      <c r="B16" s="26"/>
      <c r="D16" s="6" t="s">
        <v>13</v>
      </c>
      <c r="E16" s="6">
        <v>14</v>
      </c>
      <c r="F16" s="6" t="s">
        <v>42</v>
      </c>
      <c r="G16" s="15" t="s">
        <v>22</v>
      </c>
      <c r="H16" s="15" t="s">
        <v>16</v>
      </c>
      <c r="I16" s="16" t="s">
        <v>17</v>
      </c>
      <c r="J16" s="6">
        <v>3532.3</v>
      </c>
      <c r="K16" s="6">
        <v>3622</v>
      </c>
      <c r="L16" s="6">
        <v>3529.95</v>
      </c>
      <c r="M16" s="6">
        <v>3612.5</v>
      </c>
      <c r="N16" s="6">
        <v>3554.95</v>
      </c>
      <c r="O16" s="6">
        <v>522357</v>
      </c>
      <c r="P16" s="14" t="str">
        <f>HYPERLINK("https://gocharting.com/terminal?ticker=NSE:EICHERMOT&amp;layout=1","click here to view the chart")</f>
        <v>click here to view the chart</v>
      </c>
    </row>
    <row r="17" spans="1:18" x14ac:dyDescent="0.25">
      <c r="C17" t="s">
        <v>2</v>
      </c>
      <c r="D17" s="6" t="s">
        <v>13</v>
      </c>
      <c r="E17" s="6">
        <v>15</v>
      </c>
      <c r="F17" s="6" t="s">
        <v>43</v>
      </c>
      <c r="G17" s="16" t="s">
        <v>19</v>
      </c>
      <c r="H17" s="16" t="s">
        <v>19</v>
      </c>
      <c r="I17" s="16" t="s">
        <v>17</v>
      </c>
      <c r="J17" s="6">
        <v>1699.65</v>
      </c>
      <c r="K17" s="6">
        <v>1700.7</v>
      </c>
      <c r="L17" s="6">
        <v>1680.3</v>
      </c>
      <c r="M17" s="6">
        <v>1688.25</v>
      </c>
      <c r="N17" s="6">
        <v>1715.25</v>
      </c>
      <c r="O17" s="6">
        <v>469877</v>
      </c>
      <c r="P17" s="14" t="str">
        <f>HYPERLINK("https://gocharting.com/terminal?ticker=NSE:GRASIM&amp;layout=1","click here to view the chart")</f>
        <v>click here to view the chart</v>
      </c>
    </row>
    <row r="18" spans="1:18" x14ac:dyDescent="0.25">
      <c r="C18" t="s">
        <v>2</v>
      </c>
      <c r="D18" s="6" t="s">
        <v>13</v>
      </c>
      <c r="E18" s="6">
        <v>16</v>
      </c>
      <c r="F18" s="6" t="s">
        <v>44</v>
      </c>
      <c r="G18" s="16" t="s">
        <v>15</v>
      </c>
      <c r="H18" s="15" t="s">
        <v>16</v>
      </c>
      <c r="I18" s="16" t="s">
        <v>17</v>
      </c>
      <c r="J18" s="6">
        <v>1000</v>
      </c>
      <c r="K18" s="6">
        <v>1013.65</v>
      </c>
      <c r="L18" s="6">
        <v>999.1</v>
      </c>
      <c r="M18" s="6">
        <v>1009.2</v>
      </c>
      <c r="N18" s="6">
        <v>1023</v>
      </c>
      <c r="O18" s="6">
        <v>2487826</v>
      </c>
      <c r="P18" s="14" t="str">
        <f>HYPERLINK("https://gocharting.com/terminal?ticker=NSE:HCLTECH&amp;layout=1","click here to view the chart")</f>
        <v>click here to view the chart</v>
      </c>
    </row>
    <row r="19" spans="1:18" x14ac:dyDescent="0.25">
      <c r="D19" s="6" t="s">
        <v>13</v>
      </c>
      <c r="E19" s="6">
        <v>17</v>
      </c>
      <c r="F19" s="6" t="s">
        <v>45</v>
      </c>
      <c r="G19" s="16" t="s">
        <v>19</v>
      </c>
      <c r="H19" s="16" t="s">
        <v>19</v>
      </c>
      <c r="I19" s="17" t="s">
        <v>20</v>
      </c>
      <c r="J19" s="6">
        <v>2355.5</v>
      </c>
      <c r="K19" s="6">
        <v>2366.6999999999998</v>
      </c>
      <c r="L19" s="6">
        <v>2322.0500000000002</v>
      </c>
      <c r="M19" s="6">
        <v>2331.65</v>
      </c>
      <c r="N19" s="6">
        <v>2367</v>
      </c>
      <c r="O19" s="6">
        <v>5434016</v>
      </c>
      <c r="P19" s="14" t="str">
        <f>HYPERLINK("https://gocharting.com/terminal?ticker=NSE:HDFC&amp;layout=1","click here to view the chart")</f>
        <v>click here to view the chart</v>
      </c>
    </row>
    <row r="20" spans="1:18" x14ac:dyDescent="0.25">
      <c r="C20" t="s">
        <v>2</v>
      </c>
      <c r="D20" s="6" t="s">
        <v>13</v>
      </c>
      <c r="E20" s="6">
        <v>18</v>
      </c>
      <c r="F20" s="6" t="s">
        <v>46</v>
      </c>
      <c r="G20" s="16" t="s">
        <v>19</v>
      </c>
      <c r="H20" s="16" t="s">
        <v>19</v>
      </c>
      <c r="I20" s="16" t="s">
        <v>17</v>
      </c>
      <c r="J20" s="6">
        <v>1458.05</v>
      </c>
      <c r="K20" s="6">
        <v>1462.9</v>
      </c>
      <c r="L20" s="6">
        <v>1440</v>
      </c>
      <c r="M20" s="6">
        <v>1443.85</v>
      </c>
      <c r="N20" s="6">
        <v>1457.6</v>
      </c>
      <c r="O20" s="6">
        <v>5280554</v>
      </c>
      <c r="P20" s="14" t="str">
        <f>HYPERLINK("https://gocharting.com/terminal?ticker=NSE:HDFCBANK&amp;layout=1","click here to view the chart")</f>
        <v>click here to view the chart</v>
      </c>
    </row>
    <row r="21" spans="1:18" x14ac:dyDescent="0.25">
      <c r="A21" s="12" t="s">
        <v>47</v>
      </c>
      <c r="D21" s="6" t="s">
        <v>13</v>
      </c>
      <c r="E21" s="6">
        <v>19</v>
      </c>
      <c r="F21" s="6" t="s">
        <v>48</v>
      </c>
      <c r="G21" s="16" t="s">
        <v>15</v>
      </c>
      <c r="H21" s="15" t="s">
        <v>16</v>
      </c>
      <c r="I21" s="17" t="s">
        <v>20</v>
      </c>
      <c r="J21" s="6">
        <v>526.1</v>
      </c>
      <c r="K21" s="6">
        <v>532.4</v>
      </c>
      <c r="L21" s="6">
        <v>523.75</v>
      </c>
      <c r="M21" s="6">
        <v>531.25</v>
      </c>
      <c r="N21" s="6">
        <v>534.4</v>
      </c>
      <c r="O21" s="6">
        <v>2757284</v>
      </c>
      <c r="P21" s="14" t="str">
        <f>HYPERLINK("https://gocharting.com/terminal?ticker=NSE:HDFCLIFE&amp;layout=1","click here to view the chart")</f>
        <v>click here to view the chart</v>
      </c>
    </row>
    <row r="22" spans="1:18" x14ac:dyDescent="0.25">
      <c r="D22" s="6" t="s">
        <v>13</v>
      </c>
      <c r="E22" s="6">
        <v>20</v>
      </c>
      <c r="F22" s="6" t="s">
        <v>49</v>
      </c>
      <c r="G22" s="16" t="s">
        <v>19</v>
      </c>
      <c r="H22" s="16" t="s">
        <v>19</v>
      </c>
      <c r="I22" s="16" t="s">
        <v>17</v>
      </c>
      <c r="J22" s="6">
        <v>2566.5</v>
      </c>
      <c r="K22" s="6">
        <v>2596.75</v>
      </c>
      <c r="L22" s="6">
        <v>2534.6999999999998</v>
      </c>
      <c r="M22" s="6">
        <v>2562</v>
      </c>
      <c r="N22" s="6">
        <v>2585</v>
      </c>
      <c r="O22" s="6">
        <v>454003</v>
      </c>
      <c r="P22" s="14" t="str">
        <f>HYPERLINK("https://gocharting.com/terminal?ticker=NSE:HEROMOTOCO&amp;layout=1","click here to view the chart")</f>
        <v>click here to view the chart</v>
      </c>
    </row>
    <row r="23" spans="1:18" x14ac:dyDescent="0.25">
      <c r="D23" s="6" t="s">
        <v>13</v>
      </c>
      <c r="E23" s="6">
        <v>21</v>
      </c>
      <c r="F23" s="6" t="s">
        <v>50</v>
      </c>
      <c r="G23" s="16" t="s">
        <v>15</v>
      </c>
      <c r="H23" s="15" t="s">
        <v>16</v>
      </c>
      <c r="I23" s="16" t="s">
        <v>17</v>
      </c>
      <c r="J23" s="6">
        <v>391.5</v>
      </c>
      <c r="K23" s="6">
        <v>398.4</v>
      </c>
      <c r="L23" s="6">
        <v>391.35</v>
      </c>
      <c r="M23" s="6">
        <v>393.45</v>
      </c>
      <c r="N23" s="6">
        <v>416.5</v>
      </c>
      <c r="O23" s="6">
        <v>7081590</v>
      </c>
      <c r="P23" s="14" t="str">
        <f>HYPERLINK("https://gocharting.com/terminal?ticker=NSE:HINDALCO&amp;layout=1","click here to view the chart")</f>
        <v>click here to view the chart</v>
      </c>
      <c r="Q23" s="6"/>
      <c r="R23" s="6"/>
    </row>
    <row r="24" spans="1:18" x14ac:dyDescent="0.25">
      <c r="D24" s="6" t="s">
        <v>13</v>
      </c>
      <c r="E24" s="6">
        <v>22</v>
      </c>
      <c r="F24" s="6" t="s">
        <v>51</v>
      </c>
      <c r="G24" s="16" t="s">
        <v>19</v>
      </c>
      <c r="H24" s="16" t="s">
        <v>19</v>
      </c>
      <c r="I24" s="16" t="s">
        <v>17</v>
      </c>
      <c r="J24" s="6">
        <v>2620</v>
      </c>
      <c r="K24" s="6">
        <v>2642</v>
      </c>
      <c r="L24" s="6">
        <v>2597</v>
      </c>
      <c r="M24" s="6">
        <v>2602.25</v>
      </c>
      <c r="N24" s="6">
        <v>2624.9</v>
      </c>
      <c r="O24" s="6">
        <v>1123374</v>
      </c>
      <c r="P24" s="14" t="str">
        <f>HYPERLINK("https://gocharting.com/terminal?ticker=NSE:HINDUNILVR&amp;layout=1","click here to view the chart")</f>
        <v>click here to view the chart</v>
      </c>
    </row>
    <row r="25" spans="1:18" x14ac:dyDescent="0.25">
      <c r="D25" s="6" t="s">
        <v>13</v>
      </c>
      <c r="E25" s="6">
        <v>23</v>
      </c>
      <c r="F25" s="6" t="s">
        <v>52</v>
      </c>
      <c r="G25" s="15" t="s">
        <v>25</v>
      </c>
      <c r="H25" s="15" t="s">
        <v>16</v>
      </c>
      <c r="I25" s="16" t="s">
        <v>17</v>
      </c>
      <c r="J25" s="6">
        <v>896.05</v>
      </c>
      <c r="K25" s="6">
        <v>900.7</v>
      </c>
      <c r="L25" s="6">
        <v>891.15</v>
      </c>
      <c r="M25" s="6">
        <v>896.9</v>
      </c>
      <c r="N25" s="6">
        <v>887.5</v>
      </c>
      <c r="O25" s="6">
        <v>8097552</v>
      </c>
      <c r="P25" s="14" t="str">
        <f>HYPERLINK("https://gocharting.com/terminal?ticker=NSE:ICICIBANK&amp;layout=1","click here to view the chart")</f>
        <v>click here to view the chart</v>
      </c>
    </row>
    <row r="26" spans="1:18" x14ac:dyDescent="0.25">
      <c r="D26" s="6" t="s">
        <v>13</v>
      </c>
      <c r="E26" s="6">
        <v>24</v>
      </c>
      <c r="F26" s="6" t="s">
        <v>53</v>
      </c>
      <c r="G26" s="15" t="s">
        <v>25</v>
      </c>
      <c r="H26" s="15" t="s">
        <v>16</v>
      </c>
      <c r="I26" s="16" t="s">
        <v>17</v>
      </c>
      <c r="J26" s="6">
        <v>1207</v>
      </c>
      <c r="K26" s="6">
        <v>1228.6500000000001</v>
      </c>
      <c r="L26" s="6">
        <v>1203.0999999999999</v>
      </c>
      <c r="M26" s="6">
        <v>1223.25</v>
      </c>
      <c r="N26" s="6">
        <v>1216.3499999999999</v>
      </c>
      <c r="O26" s="6">
        <v>3451130</v>
      </c>
      <c r="P26" s="14" t="str">
        <f>HYPERLINK("https://gocharting.com/terminal?ticker=NSE:INDUSINDBK&amp;layout=1","click here to view the chart")</f>
        <v>click here to view the chart</v>
      </c>
    </row>
    <row r="27" spans="1:18" x14ac:dyDescent="0.25">
      <c r="D27" s="6" t="s">
        <v>13</v>
      </c>
      <c r="E27" s="6">
        <v>25</v>
      </c>
      <c r="F27" s="6" t="s">
        <v>54</v>
      </c>
      <c r="G27" s="16" t="s">
        <v>19</v>
      </c>
      <c r="H27" s="16" t="s">
        <v>19</v>
      </c>
      <c r="I27" s="16" t="s">
        <v>17</v>
      </c>
      <c r="J27" s="6">
        <v>1510</v>
      </c>
      <c r="K27" s="6">
        <v>1510.95</v>
      </c>
      <c r="L27" s="6">
        <v>1497.25</v>
      </c>
      <c r="M27" s="6">
        <v>1503.7</v>
      </c>
      <c r="N27" s="6">
        <v>1495</v>
      </c>
      <c r="O27" s="6">
        <v>4692004</v>
      </c>
      <c r="P27" s="14" t="str">
        <f>HYPERLINK("https://gocharting.com/terminal?ticker=NSE:INFY&amp;layout=1","click here to view the chart")</f>
        <v>click here to view the chart</v>
      </c>
    </row>
    <row r="28" spans="1:18" x14ac:dyDescent="0.25">
      <c r="D28" s="6" t="s">
        <v>13</v>
      </c>
      <c r="E28" s="6">
        <v>26</v>
      </c>
      <c r="F28" s="6" t="s">
        <v>55</v>
      </c>
      <c r="G28" s="16" t="s">
        <v>15</v>
      </c>
      <c r="H28" s="15" t="s">
        <v>16</v>
      </c>
      <c r="I28" s="16" t="s">
        <v>17</v>
      </c>
      <c r="J28" s="6">
        <v>66.400000000000006</v>
      </c>
      <c r="K28" s="6">
        <v>66.8</v>
      </c>
      <c r="L28" s="6">
        <v>66.099999999999994</v>
      </c>
      <c r="M28" s="6">
        <v>66.7</v>
      </c>
      <c r="N28" s="6">
        <v>68</v>
      </c>
      <c r="O28" s="6">
        <v>8153819</v>
      </c>
      <c r="P28" s="14" t="str">
        <f>HYPERLINK("https://gocharting.com/terminal?ticker=NSE:IOC&amp;layout=1","click here to view the chart")</f>
        <v>click here to view the chart</v>
      </c>
    </row>
    <row r="29" spans="1:18" x14ac:dyDescent="0.25">
      <c r="D29" s="6" t="s">
        <v>13</v>
      </c>
      <c r="E29" s="6">
        <v>27</v>
      </c>
      <c r="F29" s="6" t="s">
        <v>56</v>
      </c>
      <c r="G29" s="15" t="s">
        <v>22</v>
      </c>
      <c r="H29" s="15" t="s">
        <v>16</v>
      </c>
      <c r="I29" s="15" t="s">
        <v>23</v>
      </c>
      <c r="J29" s="6">
        <v>333.95</v>
      </c>
      <c r="K29" s="6">
        <v>341</v>
      </c>
      <c r="L29" s="6">
        <v>333.55</v>
      </c>
      <c r="M29" s="6">
        <v>340.3</v>
      </c>
      <c r="N29" s="6">
        <v>334.75</v>
      </c>
      <c r="O29" s="6">
        <v>20887417</v>
      </c>
      <c r="P29" s="14" t="str">
        <f>HYPERLINK("https://gocharting.com/terminal?ticker=NSE:ITC&amp;layout=1","click here to view the chart")</f>
        <v>click here to view the chart</v>
      </c>
    </row>
    <row r="30" spans="1:18" x14ac:dyDescent="0.25">
      <c r="D30" s="6" t="s">
        <v>13</v>
      </c>
      <c r="E30" s="6">
        <v>28</v>
      </c>
      <c r="F30" s="6" t="s">
        <v>57</v>
      </c>
      <c r="G30" s="16" t="s">
        <v>15</v>
      </c>
      <c r="H30" s="15" t="s">
        <v>16</v>
      </c>
      <c r="I30" s="17" t="s">
        <v>20</v>
      </c>
      <c r="J30" s="6">
        <v>634.6</v>
      </c>
      <c r="K30" s="6">
        <v>638.5</v>
      </c>
      <c r="L30" s="6">
        <v>631.15</v>
      </c>
      <c r="M30" s="6">
        <v>636.75</v>
      </c>
      <c r="N30" s="6">
        <v>659.5</v>
      </c>
      <c r="O30" s="6">
        <v>1809430</v>
      </c>
      <c r="P30" s="14" t="str">
        <f>HYPERLINK("https://gocharting.com/terminal?ticker=NSE:JSWSTEEL&amp;layout=1","click here to view the chart")</f>
        <v>click here to view the chart</v>
      </c>
    </row>
    <row r="31" spans="1:18" x14ac:dyDescent="0.25">
      <c r="D31" s="6" t="s">
        <v>13</v>
      </c>
      <c r="E31" s="6">
        <v>29</v>
      </c>
      <c r="F31" s="6" t="s">
        <v>58</v>
      </c>
      <c r="G31" s="16" t="s">
        <v>19</v>
      </c>
      <c r="H31" s="16" t="s">
        <v>19</v>
      </c>
      <c r="I31" s="17" t="s">
        <v>20</v>
      </c>
      <c r="J31" s="6">
        <v>1867.45</v>
      </c>
      <c r="K31" s="6">
        <v>1875.9</v>
      </c>
      <c r="L31" s="6">
        <v>1855.1</v>
      </c>
      <c r="M31" s="6">
        <v>1859.7</v>
      </c>
      <c r="N31" s="6">
        <v>1862.2</v>
      </c>
      <c r="O31" s="6">
        <v>1609858</v>
      </c>
      <c r="P31" s="14" t="str">
        <f>HYPERLINK("https://gocharting.com/terminal?ticker=NSE:KOTAKBANK&amp;layout=1","click here to view the chart")</f>
        <v>click here to view the chart</v>
      </c>
    </row>
    <row r="32" spans="1:18" x14ac:dyDescent="0.25">
      <c r="D32" s="6" t="s">
        <v>13</v>
      </c>
      <c r="E32" s="6">
        <v>30</v>
      </c>
      <c r="F32" s="6" t="s">
        <v>59</v>
      </c>
      <c r="G32" s="16" t="s">
        <v>15</v>
      </c>
      <c r="H32" s="15" t="s">
        <v>16</v>
      </c>
      <c r="I32" s="16" t="s">
        <v>17</v>
      </c>
      <c r="J32" s="6">
        <v>1893.1</v>
      </c>
      <c r="K32" s="6">
        <v>1931.2</v>
      </c>
      <c r="L32" s="6">
        <v>1893.1</v>
      </c>
      <c r="M32" s="6">
        <v>1918.1</v>
      </c>
      <c r="N32" s="6">
        <v>1936.75</v>
      </c>
      <c r="O32" s="6">
        <v>1401849</v>
      </c>
      <c r="P32" s="14" t="str">
        <f>HYPERLINK("https://gocharting.com/terminal?ticker=NSE:LT&amp;layout=1","click here to view the chart")</f>
        <v>click here to view the chart</v>
      </c>
    </row>
    <row r="33" spans="4:16" x14ac:dyDescent="0.25">
      <c r="D33" s="6" t="s">
        <v>13</v>
      </c>
      <c r="E33" s="6">
        <v>31</v>
      </c>
      <c r="F33" s="6" t="s">
        <v>60</v>
      </c>
      <c r="G33" s="16" t="s">
        <v>15</v>
      </c>
      <c r="H33" s="15" t="s">
        <v>16</v>
      </c>
      <c r="I33" s="17" t="s">
        <v>20</v>
      </c>
      <c r="J33" s="6">
        <v>1236.1500000000001</v>
      </c>
      <c r="K33" s="6">
        <v>1267.3499999999999</v>
      </c>
      <c r="L33" s="6">
        <v>1233.5</v>
      </c>
      <c r="M33" s="6">
        <v>1253.8</v>
      </c>
      <c r="N33" s="6">
        <v>1274.1500000000001</v>
      </c>
      <c r="O33" s="6">
        <v>2722206</v>
      </c>
      <c r="P33" s="14" t="str">
        <f>HYPERLINK("https://gocharting.com/terminal?ticker=NSE:M&amp;M&amp;layout=1","click here to view the chart")</f>
        <v>click here to view the chart</v>
      </c>
    </row>
    <row r="34" spans="4:16" x14ac:dyDescent="0.25">
      <c r="D34" s="6" t="s">
        <v>13</v>
      </c>
      <c r="E34" s="6">
        <v>32</v>
      </c>
      <c r="F34" s="6" t="s">
        <v>61</v>
      </c>
      <c r="G34" s="15" t="s">
        <v>25</v>
      </c>
      <c r="H34" s="15" t="s">
        <v>16</v>
      </c>
      <c r="I34" s="16" t="s">
        <v>17</v>
      </c>
      <c r="J34" s="6">
        <v>8765.0499999999993</v>
      </c>
      <c r="K34" s="6">
        <v>8888.25</v>
      </c>
      <c r="L34" s="6">
        <v>8752.0499999999993</v>
      </c>
      <c r="M34" s="6">
        <v>8807.35</v>
      </c>
      <c r="N34" s="6">
        <v>8785.4500000000007</v>
      </c>
      <c r="O34" s="6">
        <v>369973</v>
      </c>
      <c r="P34" s="14" t="str">
        <f>HYPERLINK("https://gocharting.com/terminal?ticker=NSE:MARUTI&amp;layout=1","click here to view the chart")</f>
        <v>click here to view the chart</v>
      </c>
    </row>
    <row r="35" spans="4:16" x14ac:dyDescent="0.25">
      <c r="D35" s="6" t="s">
        <v>13</v>
      </c>
      <c r="E35" s="6">
        <v>33</v>
      </c>
      <c r="F35" s="6" t="s">
        <v>62</v>
      </c>
      <c r="G35" s="15" t="s">
        <v>22</v>
      </c>
      <c r="H35" s="15" t="s">
        <v>16</v>
      </c>
      <c r="I35" s="17" t="s">
        <v>20</v>
      </c>
      <c r="J35" s="6">
        <v>19020</v>
      </c>
      <c r="K35" s="6">
        <v>19429.05</v>
      </c>
      <c r="L35" s="6">
        <v>18990</v>
      </c>
      <c r="M35" s="6">
        <v>19387.849999999999</v>
      </c>
      <c r="N35" s="6">
        <v>19060</v>
      </c>
      <c r="O35" s="6">
        <v>53511</v>
      </c>
      <c r="P35" s="14" t="str">
        <f>HYPERLINK("https://gocharting.com/terminal?ticker=NSE:NESTLEIND&amp;layout=1","click here to view the chart")</f>
        <v>click here to view the chart</v>
      </c>
    </row>
    <row r="36" spans="4:16" x14ac:dyDescent="0.25">
      <c r="D36" s="6" t="s">
        <v>13</v>
      </c>
      <c r="E36" s="6">
        <v>34</v>
      </c>
      <c r="F36" s="6" t="s">
        <v>63</v>
      </c>
      <c r="G36" s="16" t="s">
        <v>19</v>
      </c>
      <c r="H36" s="16" t="s">
        <v>19</v>
      </c>
      <c r="I36" s="17" t="s">
        <v>20</v>
      </c>
      <c r="J36" s="6">
        <v>168.95</v>
      </c>
      <c r="K36" s="6">
        <v>169.45</v>
      </c>
      <c r="L36" s="6">
        <v>166.4</v>
      </c>
      <c r="M36" s="6">
        <v>166.95</v>
      </c>
      <c r="N36" s="6">
        <v>169.05</v>
      </c>
      <c r="O36" s="6">
        <v>20635735</v>
      </c>
      <c r="P36" s="14" t="str">
        <f>HYPERLINK("https://gocharting.com/terminal?ticker=NSE:NTPC&amp;layout=1","click here to view the chart")</f>
        <v>click here to view the chart</v>
      </c>
    </row>
    <row r="37" spans="4:16" x14ac:dyDescent="0.25">
      <c r="D37" s="6" t="s">
        <v>13</v>
      </c>
      <c r="E37" s="6">
        <v>35</v>
      </c>
      <c r="F37" s="6" t="s">
        <v>64</v>
      </c>
      <c r="G37" s="16" t="s">
        <v>15</v>
      </c>
      <c r="H37" s="15" t="s">
        <v>16</v>
      </c>
      <c r="I37" s="16" t="s">
        <v>17</v>
      </c>
      <c r="J37" s="6">
        <v>128.44999999999999</v>
      </c>
      <c r="K37" s="6">
        <v>129.1</v>
      </c>
      <c r="L37" s="6">
        <v>127.6</v>
      </c>
      <c r="M37" s="6">
        <v>128.69999999999999</v>
      </c>
      <c r="N37" s="6">
        <v>132.80000000000001</v>
      </c>
      <c r="O37" s="6">
        <v>6490293</v>
      </c>
      <c r="P37" s="14" t="str">
        <f>HYPERLINK("https://gocharting.com/terminal?ticker=NSE:ONGC&amp;layout=1","click here to view the chart")</f>
        <v>click here to view the chart</v>
      </c>
    </row>
    <row r="38" spans="4:16" x14ac:dyDescent="0.25">
      <c r="D38" s="6" t="s">
        <v>13</v>
      </c>
      <c r="E38" s="6">
        <v>36</v>
      </c>
      <c r="F38" s="6" t="s">
        <v>65</v>
      </c>
      <c r="G38" s="16" t="s">
        <v>19</v>
      </c>
      <c r="H38" s="16" t="s">
        <v>19</v>
      </c>
      <c r="I38" s="16" t="s">
        <v>17</v>
      </c>
      <c r="J38" s="6">
        <v>212.95</v>
      </c>
      <c r="K38" s="6">
        <v>215</v>
      </c>
      <c r="L38" s="6">
        <v>211.55</v>
      </c>
      <c r="M38" s="6">
        <v>212.35</v>
      </c>
      <c r="N38" s="6">
        <v>218</v>
      </c>
      <c r="O38" s="6">
        <v>9942431</v>
      </c>
      <c r="P38" s="14" t="str">
        <f>HYPERLINK("https://gocharting.com/terminal?ticker=NSE:POWERGRID&amp;layout=1","click here to view the chart")</f>
        <v>click here to view the chart</v>
      </c>
    </row>
    <row r="39" spans="4:16" x14ac:dyDescent="0.25">
      <c r="D39" s="6" t="s">
        <v>13</v>
      </c>
      <c r="E39" s="6">
        <v>37</v>
      </c>
      <c r="F39" s="6" t="s">
        <v>66</v>
      </c>
      <c r="G39" s="15" t="s">
        <v>25</v>
      </c>
      <c r="H39" s="15" t="s">
        <v>16</v>
      </c>
      <c r="I39" s="17" t="s">
        <v>20</v>
      </c>
      <c r="J39" s="6">
        <v>2422</v>
      </c>
      <c r="K39" s="6">
        <v>2463</v>
      </c>
      <c r="L39" s="6">
        <v>2420.15</v>
      </c>
      <c r="M39" s="6">
        <v>2451.25</v>
      </c>
      <c r="N39" s="6">
        <v>2416.35</v>
      </c>
      <c r="O39" s="6">
        <v>5729899</v>
      </c>
      <c r="P39" s="14" t="str">
        <f>HYPERLINK("https://gocharting.com/terminal?ticker=NSE:RELIANCE&amp;layout=1","click here to view the chart")</f>
        <v>click here to view the chart</v>
      </c>
    </row>
    <row r="40" spans="4:16" x14ac:dyDescent="0.25">
      <c r="D40" s="6" t="s">
        <v>13</v>
      </c>
      <c r="E40" s="6">
        <v>38</v>
      </c>
      <c r="F40" s="6" t="s">
        <v>67</v>
      </c>
      <c r="G40" s="16" t="s">
        <v>15</v>
      </c>
      <c r="H40" s="15" t="s">
        <v>16</v>
      </c>
      <c r="I40" s="17" t="s">
        <v>20</v>
      </c>
      <c r="J40" s="6">
        <v>1195.75</v>
      </c>
      <c r="K40" s="6">
        <v>1226</v>
      </c>
      <c r="L40" s="6">
        <v>1193.1500000000001</v>
      </c>
      <c r="M40" s="6">
        <v>1219.05</v>
      </c>
      <c r="N40" s="6">
        <v>1220.45</v>
      </c>
      <c r="O40" s="6">
        <v>1367703</v>
      </c>
      <c r="P40" s="14" t="str">
        <f>HYPERLINK("https://gocharting.com/terminal?ticker=NSE:SBILIFE&amp;layout=1","click here to view the chart")</f>
        <v>click here to view the chart</v>
      </c>
    </row>
    <row r="41" spans="4:16" x14ac:dyDescent="0.25">
      <c r="D41" s="6" t="s">
        <v>13</v>
      </c>
      <c r="E41" s="6">
        <v>39</v>
      </c>
      <c r="F41" s="6" t="s">
        <v>68</v>
      </c>
      <c r="G41" s="15" t="s">
        <v>22</v>
      </c>
      <c r="H41" s="15" t="s">
        <v>16</v>
      </c>
      <c r="I41" s="17" t="s">
        <v>20</v>
      </c>
      <c r="J41" s="6">
        <v>547.1</v>
      </c>
      <c r="K41" s="6">
        <v>563.5</v>
      </c>
      <c r="L41" s="6">
        <v>546.75</v>
      </c>
      <c r="M41" s="6">
        <v>562.45000000000005</v>
      </c>
      <c r="N41" s="6">
        <v>544.70000000000005</v>
      </c>
      <c r="O41" s="6">
        <v>20440781</v>
      </c>
      <c r="P41" s="14" t="str">
        <f>HYPERLINK("https://gocharting.com/terminal?ticker=NSE:SBIN&amp;layout=1","click here to view the chart")</f>
        <v>click here to view the chart</v>
      </c>
    </row>
    <row r="42" spans="4:16" x14ac:dyDescent="0.25">
      <c r="D42" s="6" t="s">
        <v>13</v>
      </c>
      <c r="E42" s="6">
        <v>40</v>
      </c>
      <c r="F42" s="6" t="s">
        <v>69</v>
      </c>
      <c r="G42" s="16" t="s">
        <v>15</v>
      </c>
      <c r="H42" s="15" t="s">
        <v>16</v>
      </c>
      <c r="I42" s="16" t="s">
        <v>17</v>
      </c>
      <c r="J42" s="6">
        <v>20805</v>
      </c>
      <c r="K42" s="6">
        <v>21190</v>
      </c>
      <c r="L42" s="6">
        <v>20765</v>
      </c>
      <c r="M42" s="6">
        <v>20967.900000000001</v>
      </c>
      <c r="N42" s="6">
        <v>21499</v>
      </c>
      <c r="O42" s="6">
        <v>74047</v>
      </c>
      <c r="P42" s="14" t="str">
        <f>HYPERLINK("https://gocharting.com/terminal?ticker=NSE:SHREECEM&amp;layout=1","click here to view the chart")</f>
        <v>click here to view the chart</v>
      </c>
    </row>
    <row r="43" spans="4:16" x14ac:dyDescent="0.25">
      <c r="D43" s="6" t="s">
        <v>13</v>
      </c>
      <c r="E43" s="6">
        <v>41</v>
      </c>
      <c r="F43" s="6" t="s">
        <v>70</v>
      </c>
      <c r="G43" s="16" t="s">
        <v>19</v>
      </c>
      <c r="H43" s="16" t="s">
        <v>19</v>
      </c>
      <c r="I43" s="16" t="s">
        <v>17</v>
      </c>
      <c r="J43" s="6">
        <v>983.75</v>
      </c>
      <c r="K43" s="6">
        <v>985</v>
      </c>
      <c r="L43" s="6">
        <v>972.75</v>
      </c>
      <c r="M43" s="6">
        <v>978.35</v>
      </c>
      <c r="N43" s="6">
        <v>985</v>
      </c>
      <c r="O43" s="6">
        <v>2065146</v>
      </c>
      <c r="P43" s="14" t="str">
        <f>HYPERLINK("https://gocharting.com/terminal?ticker=NSE:SUNPHARMA&amp;layout=1","click here to view the chart")</f>
        <v>click here to view the chart</v>
      </c>
    </row>
    <row r="44" spans="4:16" x14ac:dyDescent="0.25">
      <c r="D44" s="6" t="s">
        <v>13</v>
      </c>
      <c r="E44" s="6">
        <v>42</v>
      </c>
      <c r="F44" s="6" t="s">
        <v>71</v>
      </c>
      <c r="G44" s="15" t="s">
        <v>22</v>
      </c>
      <c r="H44" s="15" t="s">
        <v>16</v>
      </c>
      <c r="I44" s="16" t="s">
        <v>17</v>
      </c>
      <c r="J44" s="6">
        <v>767</v>
      </c>
      <c r="K44" s="6">
        <v>776</v>
      </c>
      <c r="L44" s="6">
        <v>763.55</v>
      </c>
      <c r="M44" s="6">
        <v>774.35</v>
      </c>
      <c r="N44" s="6">
        <v>771.95</v>
      </c>
      <c r="O44" s="6">
        <v>1361691</v>
      </c>
      <c r="P44" s="14" t="str">
        <f>HYPERLINK("https://gocharting.com/terminal?ticker=NSE:TATACONSUM&amp;layout=1","click here to view the chart")</f>
        <v>click here to view the chart</v>
      </c>
    </row>
    <row r="45" spans="4:16" x14ac:dyDescent="0.25">
      <c r="D45" s="6" t="s">
        <v>13</v>
      </c>
      <c r="E45" s="6">
        <v>43</v>
      </c>
      <c r="F45" s="6" t="s">
        <v>72</v>
      </c>
      <c r="G45" s="16" t="s">
        <v>15</v>
      </c>
      <c r="H45" s="15" t="s">
        <v>16</v>
      </c>
      <c r="I45" s="16" t="s">
        <v>17</v>
      </c>
      <c r="J45" s="6">
        <v>401</v>
      </c>
      <c r="K45" s="6">
        <v>406.7</v>
      </c>
      <c r="L45" s="6">
        <v>400.7</v>
      </c>
      <c r="M45" s="6">
        <v>404.25</v>
      </c>
      <c r="N45" s="6">
        <v>409.2</v>
      </c>
      <c r="O45" s="6">
        <v>14215544</v>
      </c>
      <c r="P45" s="14" t="str">
        <f>HYPERLINK("https://gocharting.com/terminal?ticker=NSE:TATAMOTORS&amp;layout=1","click here to view the chart")</f>
        <v>click here to view the chart</v>
      </c>
    </row>
    <row r="46" spans="4:16" x14ac:dyDescent="0.25">
      <c r="D46" s="6" t="s">
        <v>13</v>
      </c>
      <c r="E46" s="6">
        <v>44</v>
      </c>
      <c r="F46" s="6" t="s">
        <v>73</v>
      </c>
      <c r="G46" s="16" t="s">
        <v>15</v>
      </c>
      <c r="H46" s="15" t="s">
        <v>16</v>
      </c>
      <c r="I46" s="16" t="s">
        <v>17</v>
      </c>
      <c r="J46" s="6">
        <v>100.3</v>
      </c>
      <c r="K46" s="6">
        <v>101</v>
      </c>
      <c r="L46" s="6">
        <v>99.8</v>
      </c>
      <c r="M46" s="6">
        <v>100.65</v>
      </c>
      <c r="N46" s="6">
        <v>102.8</v>
      </c>
      <c r="O46" s="6">
        <v>30722156</v>
      </c>
      <c r="P46" s="14" t="str">
        <f>HYPERLINK("https://gocharting.com/terminal?ticker=NSE:TATASTEEL&amp;layout=1","click here to view the chart")</f>
        <v>click here to view the chart</v>
      </c>
    </row>
    <row r="47" spans="4:16" x14ac:dyDescent="0.25">
      <c r="D47" s="6" t="s">
        <v>13</v>
      </c>
      <c r="E47" s="6">
        <v>45</v>
      </c>
      <c r="F47" s="6" t="s">
        <v>74</v>
      </c>
      <c r="G47" s="16" t="s">
        <v>19</v>
      </c>
      <c r="H47" s="16" t="s">
        <v>19</v>
      </c>
      <c r="I47" s="16" t="s">
        <v>17</v>
      </c>
      <c r="J47" s="6">
        <v>3150</v>
      </c>
      <c r="K47" s="6">
        <v>3155.35</v>
      </c>
      <c r="L47" s="6">
        <v>3128.55</v>
      </c>
      <c r="M47" s="6">
        <v>3144.7</v>
      </c>
      <c r="N47" s="6">
        <v>3150</v>
      </c>
      <c r="O47" s="6">
        <v>1793722</v>
      </c>
      <c r="P47" s="14" t="str">
        <f>HYPERLINK("https://gocharting.com/terminal?ticker=NSE:TCS&amp;layout=1","click here to view the chart")</f>
        <v>click here to view the chart</v>
      </c>
    </row>
    <row r="48" spans="4:16" x14ac:dyDescent="0.25">
      <c r="D48" s="6" t="s">
        <v>13</v>
      </c>
      <c r="E48" s="6">
        <v>46</v>
      </c>
      <c r="F48" s="6" t="s">
        <v>75</v>
      </c>
      <c r="G48" s="16" t="s">
        <v>19</v>
      </c>
      <c r="H48" s="16" t="s">
        <v>19</v>
      </c>
      <c r="I48" s="17" t="s">
        <v>20</v>
      </c>
      <c r="J48" s="6">
        <v>1028.4000000000001</v>
      </c>
      <c r="K48" s="6">
        <v>1033.95</v>
      </c>
      <c r="L48" s="6">
        <v>1014</v>
      </c>
      <c r="M48" s="6">
        <v>1019.4</v>
      </c>
      <c r="N48" s="6">
        <v>1049.9000000000001</v>
      </c>
      <c r="O48" s="6">
        <v>2395805</v>
      </c>
      <c r="P48" s="14" t="str">
        <f>HYPERLINK("https://gocharting.com/terminal?ticker=NSE:TECHM&amp;layout=1","click here to view the chart")</f>
        <v>click here to view the chart</v>
      </c>
    </row>
    <row r="49" spans="4:16" x14ac:dyDescent="0.25">
      <c r="D49" s="6" t="s">
        <v>13</v>
      </c>
      <c r="E49" s="6">
        <v>47</v>
      </c>
      <c r="F49" s="6" t="s">
        <v>76</v>
      </c>
      <c r="G49" s="16" t="s">
        <v>15</v>
      </c>
      <c r="H49" s="15" t="s">
        <v>16</v>
      </c>
      <c r="I49" s="16" t="s">
        <v>17</v>
      </c>
      <c r="J49" s="6">
        <v>2638.15</v>
      </c>
      <c r="K49" s="6">
        <v>2664.7</v>
      </c>
      <c r="L49" s="6">
        <v>2623.15</v>
      </c>
      <c r="M49" s="6">
        <v>2641.1</v>
      </c>
      <c r="N49" s="6">
        <v>2663.6</v>
      </c>
      <c r="O49" s="6">
        <v>771852</v>
      </c>
      <c r="P49" s="14" t="str">
        <f>HYPERLINK("https://gocharting.com/terminal?ticker=NSE:TITAN&amp;layout=1","click here to view the chart")</f>
        <v>click here to view the chart</v>
      </c>
    </row>
    <row r="50" spans="4:16" x14ac:dyDescent="0.25">
      <c r="D50" s="6" t="s">
        <v>13</v>
      </c>
      <c r="E50" s="6">
        <v>48</v>
      </c>
      <c r="F50" s="6" t="s">
        <v>77</v>
      </c>
      <c r="G50" s="15" t="s">
        <v>25</v>
      </c>
      <c r="H50" s="15" t="s">
        <v>16</v>
      </c>
      <c r="I50" s="17" t="s">
        <v>20</v>
      </c>
      <c r="J50" s="6">
        <v>6305</v>
      </c>
      <c r="K50" s="6">
        <v>6444</v>
      </c>
      <c r="L50" s="6">
        <v>6290.25</v>
      </c>
      <c r="M50" s="6">
        <v>6346.75</v>
      </c>
      <c r="N50" s="6">
        <v>6281.8</v>
      </c>
      <c r="O50" s="6">
        <v>558284</v>
      </c>
      <c r="P50" s="14" t="str">
        <f>HYPERLINK("https://gocharting.com/terminal?ticker=NSE:ULTRACEMCO&amp;layout=1","click here to view the chart")</f>
        <v>click here to view the chart</v>
      </c>
    </row>
    <row r="51" spans="4:16" x14ac:dyDescent="0.25">
      <c r="D51" s="6" t="s">
        <v>13</v>
      </c>
      <c r="E51" s="6">
        <v>49</v>
      </c>
      <c r="F51" s="6" t="s">
        <v>78</v>
      </c>
      <c r="G51" s="16" t="s">
        <v>15</v>
      </c>
      <c r="H51" s="15" t="s">
        <v>16</v>
      </c>
      <c r="I51" s="16" t="s">
        <v>17</v>
      </c>
      <c r="J51" s="6">
        <v>681.45</v>
      </c>
      <c r="K51" s="6">
        <v>689.05</v>
      </c>
      <c r="L51" s="6">
        <v>680</v>
      </c>
      <c r="M51" s="6">
        <v>682.05</v>
      </c>
      <c r="N51" s="6">
        <v>687.6</v>
      </c>
      <c r="O51" s="6">
        <v>1238762</v>
      </c>
      <c r="P51" s="14" t="str">
        <f>HYPERLINK("https://gocharting.com/terminal?ticker=NSE:UPL&amp;layout=1","click here to view the chart")</f>
        <v>click here to view the chart</v>
      </c>
    </row>
    <row r="52" spans="4:16" x14ac:dyDescent="0.25">
      <c r="D52" s="6" t="s">
        <v>13</v>
      </c>
      <c r="E52" s="6">
        <v>50</v>
      </c>
      <c r="F52" s="6" t="s">
        <v>79</v>
      </c>
      <c r="G52" s="16" t="s">
        <v>19</v>
      </c>
      <c r="H52" s="16" t="s">
        <v>19</v>
      </c>
      <c r="I52" s="17" t="s">
        <v>20</v>
      </c>
      <c r="J52" s="6">
        <v>383.7</v>
      </c>
      <c r="K52" s="6">
        <v>384.25</v>
      </c>
      <c r="L52" s="6">
        <v>378.4</v>
      </c>
      <c r="M52" s="6">
        <v>379.3</v>
      </c>
      <c r="N52" s="6">
        <v>409.6</v>
      </c>
      <c r="O52" s="6">
        <v>11164240</v>
      </c>
      <c r="P52" s="14" t="str">
        <f>HYPERLINK("https://gocharting.com/terminal?ticker=NSE:WIPRO&amp;layout=1","click here to view the chart")</f>
        <v>click here to view the chart</v>
      </c>
    </row>
    <row r="53" spans="4:16" x14ac:dyDescent="0.25">
      <c r="D53" s="6" t="s">
        <v>80</v>
      </c>
      <c r="E53" s="6">
        <v>51</v>
      </c>
      <c r="F53" s="6" t="s">
        <v>81</v>
      </c>
      <c r="G53" s="16" t="s">
        <v>19</v>
      </c>
      <c r="H53" s="16" t="s">
        <v>19</v>
      </c>
      <c r="I53" s="15" t="s">
        <v>23</v>
      </c>
      <c r="J53" s="6">
        <v>792</v>
      </c>
      <c r="K53" s="6">
        <v>795.6</v>
      </c>
      <c r="L53" s="6">
        <v>738</v>
      </c>
      <c r="M53" s="6">
        <v>744.9</v>
      </c>
      <c r="N53" s="6">
        <v>807.9</v>
      </c>
      <c r="O53" s="6">
        <v>2022998</v>
      </c>
      <c r="P53" s="14" t="str">
        <f>HYPERLINK("https://gocharting.com/terminal?ticker=NSE:AARTIIND&amp;layout=1","click here to view the chart")</f>
        <v>click here to view the chart</v>
      </c>
    </row>
    <row r="54" spans="4:16" x14ac:dyDescent="0.25">
      <c r="D54" s="6" t="s">
        <v>80</v>
      </c>
      <c r="E54" s="6">
        <v>52</v>
      </c>
      <c r="F54" s="6" t="s">
        <v>82</v>
      </c>
      <c r="G54" s="16" t="s">
        <v>19</v>
      </c>
      <c r="H54" s="16" t="s">
        <v>19</v>
      </c>
      <c r="I54" s="17" t="s">
        <v>20</v>
      </c>
      <c r="J54" s="6">
        <v>2259</v>
      </c>
      <c r="K54" s="6">
        <v>2293.1999999999998</v>
      </c>
      <c r="L54" s="6">
        <v>2216</v>
      </c>
      <c r="M54" s="6">
        <v>2219.25</v>
      </c>
      <c r="N54" s="6">
        <v>2339.4</v>
      </c>
      <c r="O54" s="6">
        <v>1189726</v>
      </c>
      <c r="P54" s="14" t="str">
        <f>HYPERLINK("https://gocharting.com/terminal?ticker=NSE:ACC&amp;layout=1","click here to view the chart")</f>
        <v>click here to view the chart</v>
      </c>
    </row>
    <row r="55" spans="4:16" x14ac:dyDescent="0.25">
      <c r="D55" s="6" t="s">
        <v>80</v>
      </c>
      <c r="E55" s="6">
        <v>53</v>
      </c>
      <c r="F55" s="6" t="s">
        <v>83</v>
      </c>
      <c r="G55" s="16" t="s">
        <v>15</v>
      </c>
      <c r="H55" s="15" t="s">
        <v>16</v>
      </c>
      <c r="I55" s="16" t="s">
        <v>17</v>
      </c>
      <c r="J55" s="6">
        <v>3249</v>
      </c>
      <c r="K55" s="6">
        <v>3298</v>
      </c>
      <c r="L55" s="6">
        <v>3226.1</v>
      </c>
      <c r="M55" s="6">
        <v>3284.3</v>
      </c>
      <c r="N55" s="6">
        <v>3305</v>
      </c>
      <c r="O55" s="6">
        <v>1635079</v>
      </c>
      <c r="P55" s="14" t="str">
        <f>HYPERLINK("https://gocharting.com/terminal?ticker=NSE:ADANIENT&amp;layout=1","click here to view the chart")</f>
        <v>click here to view the chart</v>
      </c>
    </row>
    <row r="56" spans="4:16" x14ac:dyDescent="0.25">
      <c r="D56" s="6" t="s">
        <v>80</v>
      </c>
      <c r="E56" s="6">
        <v>54</v>
      </c>
      <c r="F56" s="6" t="s">
        <v>84</v>
      </c>
      <c r="G56" s="16" t="s">
        <v>19</v>
      </c>
      <c r="H56" s="16" t="s">
        <v>19</v>
      </c>
      <c r="I56" s="16" t="s">
        <v>17</v>
      </c>
      <c r="J56" s="6">
        <v>3130.65</v>
      </c>
      <c r="K56" s="6">
        <v>3150</v>
      </c>
      <c r="L56" s="6">
        <v>3093.15</v>
      </c>
      <c r="M56" s="6">
        <v>3106.3</v>
      </c>
      <c r="N56" s="6">
        <v>3205.55</v>
      </c>
      <c r="O56" s="6">
        <v>44614</v>
      </c>
      <c r="P56" s="14" t="str">
        <f>HYPERLINK("https://gocharting.com/terminal?ticker=NSE:ALKEM&amp;layout=1","click here to view the chart")</f>
        <v>click here to view the chart</v>
      </c>
    </row>
    <row r="57" spans="4:16" x14ac:dyDescent="0.25">
      <c r="D57" s="6" t="s">
        <v>80</v>
      </c>
      <c r="E57" s="6">
        <v>55</v>
      </c>
      <c r="F57" s="6" t="s">
        <v>85</v>
      </c>
      <c r="G57" s="16" t="s">
        <v>19</v>
      </c>
      <c r="H57" s="16" t="s">
        <v>19</v>
      </c>
      <c r="I57" s="16" t="s">
        <v>17</v>
      </c>
      <c r="J57" s="6">
        <v>492.35</v>
      </c>
      <c r="K57" s="6">
        <v>493.9</v>
      </c>
      <c r="L57" s="6">
        <v>488.5</v>
      </c>
      <c r="M57" s="6">
        <v>490.35</v>
      </c>
      <c r="N57" s="6">
        <v>498.1</v>
      </c>
      <c r="O57" s="6">
        <v>254949</v>
      </c>
      <c r="P57" s="14" t="str">
        <f>HYPERLINK("https://gocharting.com/terminal?ticker=NSE:AMARAJABAT&amp;layout=1","click here to view the chart")</f>
        <v>click here to view the chart</v>
      </c>
    </row>
    <row r="58" spans="4:16" x14ac:dyDescent="0.25">
      <c r="D58" s="6" t="s">
        <v>80</v>
      </c>
      <c r="E58" s="6">
        <v>56</v>
      </c>
      <c r="F58" s="6" t="s">
        <v>86</v>
      </c>
      <c r="G58" s="16" t="s">
        <v>19</v>
      </c>
      <c r="H58" s="16" t="s">
        <v>19</v>
      </c>
      <c r="I58" s="17" t="s">
        <v>20</v>
      </c>
      <c r="J58" s="6">
        <v>523</v>
      </c>
      <c r="K58" s="6">
        <v>524.20000000000005</v>
      </c>
      <c r="L58" s="6">
        <v>506.05</v>
      </c>
      <c r="M58" s="6">
        <v>507.85</v>
      </c>
      <c r="N58" s="6">
        <v>522.70000000000005</v>
      </c>
      <c r="O58" s="6">
        <v>10116195</v>
      </c>
      <c r="P58" s="14" t="str">
        <f>HYPERLINK("https://gocharting.com/terminal?ticker=NSE:AMBUJACEM&amp;layout=1","click here to view the chart")</f>
        <v>click here to view the chart</v>
      </c>
    </row>
    <row r="59" spans="4:16" x14ac:dyDescent="0.25">
      <c r="D59" s="6" t="s">
        <v>80</v>
      </c>
      <c r="E59" s="6">
        <v>57</v>
      </c>
      <c r="F59" s="6" t="s">
        <v>87</v>
      </c>
      <c r="G59" s="16" t="s">
        <v>19</v>
      </c>
      <c r="H59" s="16" t="s">
        <v>19</v>
      </c>
      <c r="I59" s="17" t="s">
        <v>20</v>
      </c>
      <c r="J59" s="6">
        <v>572.9</v>
      </c>
      <c r="K59" s="6">
        <v>573.9</v>
      </c>
      <c r="L59" s="6">
        <v>557.1</v>
      </c>
      <c r="M59" s="6">
        <v>560.15</v>
      </c>
      <c r="N59" s="6">
        <v>602.35</v>
      </c>
      <c r="O59" s="6">
        <v>204186</v>
      </c>
      <c r="P59" s="14" t="str">
        <f>HYPERLINK("https://gocharting.com/terminal?ticker=NSE:APLLTD&amp;layout=1","click here to view the chart")</f>
        <v>click here to view the chart</v>
      </c>
    </row>
    <row r="60" spans="4:16" x14ac:dyDescent="0.25">
      <c r="D60" s="6" t="s">
        <v>80</v>
      </c>
      <c r="E60" s="6">
        <v>58</v>
      </c>
      <c r="F60" s="6" t="s">
        <v>88</v>
      </c>
      <c r="G60" s="15" t="s">
        <v>25</v>
      </c>
      <c r="H60" s="15" t="s">
        <v>16</v>
      </c>
      <c r="I60" s="17" t="s">
        <v>20</v>
      </c>
      <c r="J60" s="6">
        <v>4325</v>
      </c>
      <c r="K60" s="6">
        <v>4377</v>
      </c>
      <c r="L60" s="6">
        <v>4258</v>
      </c>
      <c r="M60" s="6">
        <v>4366</v>
      </c>
      <c r="N60" s="6">
        <v>4350</v>
      </c>
      <c r="O60" s="6">
        <v>387469</v>
      </c>
      <c r="P60" s="14" t="str">
        <f>HYPERLINK("https://gocharting.com/terminal?ticker=NSE:APOLLOHOSP&amp;layout=1","click here to view the chart")</f>
        <v>click here to view the chart</v>
      </c>
    </row>
    <row r="61" spans="4:16" x14ac:dyDescent="0.25">
      <c r="D61" s="6" t="s">
        <v>80</v>
      </c>
      <c r="E61" s="6">
        <v>59</v>
      </c>
      <c r="F61" s="6" t="s">
        <v>89</v>
      </c>
      <c r="G61" s="15" t="s">
        <v>25</v>
      </c>
      <c r="H61" s="15" t="s">
        <v>16</v>
      </c>
      <c r="I61" s="17" t="s">
        <v>20</v>
      </c>
      <c r="J61" s="6">
        <v>276.5</v>
      </c>
      <c r="K61" s="6">
        <v>282.35000000000002</v>
      </c>
      <c r="L61" s="6">
        <v>274.75</v>
      </c>
      <c r="M61" s="6">
        <v>280.25</v>
      </c>
      <c r="N61" s="6">
        <v>279</v>
      </c>
      <c r="O61" s="6">
        <v>2958781</v>
      </c>
      <c r="P61" s="14" t="str">
        <f>HYPERLINK("https://gocharting.com/terminal?ticker=NSE:APOLLOTYRE&amp;layout=1","click here to view the chart")</f>
        <v>click here to view the chart</v>
      </c>
    </row>
    <row r="62" spans="4:16" x14ac:dyDescent="0.25">
      <c r="D62" s="6" t="s">
        <v>80</v>
      </c>
      <c r="E62" s="6">
        <v>60</v>
      </c>
      <c r="F62" s="6" t="s">
        <v>90</v>
      </c>
      <c r="G62" s="16" t="s">
        <v>15</v>
      </c>
      <c r="H62" s="15" t="s">
        <v>16</v>
      </c>
      <c r="I62" s="16" t="s">
        <v>17</v>
      </c>
      <c r="J62" s="6">
        <v>148.80000000000001</v>
      </c>
      <c r="K62" s="6">
        <v>151.19999999999999</v>
      </c>
      <c r="L62" s="6">
        <v>148.75</v>
      </c>
      <c r="M62" s="6">
        <v>149.80000000000001</v>
      </c>
      <c r="N62" s="6">
        <v>151</v>
      </c>
      <c r="O62" s="6">
        <v>7573408</v>
      </c>
      <c r="P62" s="14" t="str">
        <f>HYPERLINK("https://gocharting.com/terminal?ticker=NSE:ASHOKLEY&amp;layout=1","click here to view the chart")</f>
        <v>click here to view the chart</v>
      </c>
    </row>
    <row r="63" spans="4:16" x14ac:dyDescent="0.25">
      <c r="D63" s="6" t="s">
        <v>80</v>
      </c>
      <c r="E63" s="6">
        <v>61</v>
      </c>
      <c r="F63" s="6" t="s">
        <v>91</v>
      </c>
      <c r="G63" s="15" t="s">
        <v>25</v>
      </c>
      <c r="H63" s="15" t="s">
        <v>16</v>
      </c>
      <c r="I63" s="16" t="s">
        <v>17</v>
      </c>
      <c r="J63" s="6">
        <v>618.85</v>
      </c>
      <c r="K63" s="6">
        <v>628.75</v>
      </c>
      <c r="L63" s="6">
        <v>616.45000000000005</v>
      </c>
      <c r="M63" s="6">
        <v>625.6</v>
      </c>
      <c r="N63" s="6">
        <v>618</v>
      </c>
      <c r="O63" s="6">
        <v>1137553</v>
      </c>
      <c r="P63" s="14" t="str">
        <f>HYPERLINK("https://gocharting.com/terminal?ticker=NSE:AUBANK&amp;layout=1","click here to view the chart")</f>
        <v>click here to view the chart</v>
      </c>
    </row>
    <row r="64" spans="4:16" x14ac:dyDescent="0.25">
      <c r="D64" s="6" t="s">
        <v>80</v>
      </c>
      <c r="E64" s="6">
        <v>62</v>
      </c>
      <c r="F64" s="6" t="s">
        <v>92</v>
      </c>
      <c r="G64" s="16" t="s">
        <v>19</v>
      </c>
      <c r="H64" s="16" t="s">
        <v>19</v>
      </c>
      <c r="I64" s="16" t="s">
        <v>17</v>
      </c>
      <c r="J64" s="6">
        <v>522.45000000000005</v>
      </c>
      <c r="K64" s="6">
        <v>522.75</v>
      </c>
      <c r="L64" s="6">
        <v>515.35</v>
      </c>
      <c r="M64" s="6">
        <v>517.70000000000005</v>
      </c>
      <c r="N64" s="6">
        <v>526.25</v>
      </c>
      <c r="O64" s="6">
        <v>908829</v>
      </c>
      <c r="P64" s="14" t="str">
        <f>HYPERLINK("https://gocharting.com/terminal?ticker=NSE:AUROPHARMA&amp;layout=1","click here to view the chart")</f>
        <v>click here to view the chart</v>
      </c>
    </row>
    <row r="65" spans="4:16" x14ac:dyDescent="0.25">
      <c r="D65" s="6" t="s">
        <v>80</v>
      </c>
      <c r="E65" s="6">
        <v>63</v>
      </c>
      <c r="F65" s="6" t="s">
        <v>93</v>
      </c>
      <c r="G65" s="16" t="s">
        <v>19</v>
      </c>
      <c r="H65" s="16" t="s">
        <v>19</v>
      </c>
      <c r="I65" s="16" t="s">
        <v>17</v>
      </c>
      <c r="J65" s="6">
        <v>1915</v>
      </c>
      <c r="K65" s="6">
        <v>1929.9</v>
      </c>
      <c r="L65" s="6">
        <v>1905.25</v>
      </c>
      <c r="M65" s="6">
        <v>1914.55</v>
      </c>
      <c r="N65" s="6">
        <v>1956</v>
      </c>
      <c r="O65" s="6">
        <v>108922</v>
      </c>
      <c r="P65" s="14" t="str">
        <f>HYPERLINK("https://gocharting.com/terminal?ticker=NSE:BALKRISIND&amp;layout=1","click here to view the chart")</f>
        <v>click here to view the chart</v>
      </c>
    </row>
    <row r="66" spans="4:16" x14ac:dyDescent="0.25">
      <c r="D66" s="6" t="s">
        <v>80</v>
      </c>
      <c r="E66" s="6">
        <v>64</v>
      </c>
      <c r="F66" s="6" t="s">
        <v>94</v>
      </c>
      <c r="G66" s="15" t="s">
        <v>25</v>
      </c>
      <c r="H66" s="15" t="s">
        <v>16</v>
      </c>
      <c r="I66" s="17" t="s">
        <v>20</v>
      </c>
      <c r="J66" s="6">
        <v>270.3</v>
      </c>
      <c r="K66" s="6">
        <v>272.60000000000002</v>
      </c>
      <c r="L66" s="6">
        <v>268.5</v>
      </c>
      <c r="M66" s="6">
        <v>270.60000000000002</v>
      </c>
      <c r="N66" s="6">
        <v>270.3</v>
      </c>
      <c r="O66" s="6">
        <v>5181542</v>
      </c>
      <c r="P66" s="14" t="str">
        <f>HYPERLINK("https://gocharting.com/terminal?ticker=NSE:BANDHANBNK&amp;layout=1","click here to view the chart")</f>
        <v>click here to view the chart</v>
      </c>
    </row>
    <row r="67" spans="4:16" x14ac:dyDescent="0.25">
      <c r="D67" s="6" t="s">
        <v>80</v>
      </c>
      <c r="E67" s="6">
        <v>65</v>
      </c>
      <c r="F67" s="6" t="s">
        <v>95</v>
      </c>
      <c r="G67" s="15" t="s">
        <v>25</v>
      </c>
      <c r="H67" s="15" t="s">
        <v>16</v>
      </c>
      <c r="I67" s="17" t="s">
        <v>20</v>
      </c>
      <c r="J67" s="6">
        <v>137.5</v>
      </c>
      <c r="K67" s="6">
        <v>141.75</v>
      </c>
      <c r="L67" s="6">
        <v>136.75</v>
      </c>
      <c r="M67" s="6">
        <v>140.65</v>
      </c>
      <c r="N67" s="6">
        <v>136.75</v>
      </c>
      <c r="O67" s="6">
        <v>34071231</v>
      </c>
      <c r="P67" s="14" t="str">
        <f>HYPERLINK("https://gocharting.com/terminal?ticker=NSE:BANKBARODA&amp;layout=1","click here to view the chart")</f>
        <v>click here to view the chart</v>
      </c>
    </row>
    <row r="68" spans="4:16" x14ac:dyDescent="0.25">
      <c r="D68" s="6" t="s">
        <v>80</v>
      </c>
      <c r="E68" s="6">
        <v>66</v>
      </c>
      <c r="F68" s="6" t="s">
        <v>96</v>
      </c>
      <c r="G68" s="15" t="s">
        <v>25</v>
      </c>
      <c r="H68" s="15" t="s">
        <v>16</v>
      </c>
      <c r="I68" s="17" t="s">
        <v>20</v>
      </c>
      <c r="J68" s="6">
        <v>1846.05</v>
      </c>
      <c r="K68" s="6">
        <v>1875</v>
      </c>
      <c r="L68" s="6">
        <v>1823.55</v>
      </c>
      <c r="M68" s="6">
        <v>1867.5</v>
      </c>
      <c r="N68" s="6">
        <v>1844.65</v>
      </c>
      <c r="O68" s="6">
        <v>327812</v>
      </c>
      <c r="P68" s="14" t="str">
        <f>HYPERLINK("https://gocharting.com/terminal?ticker=NSE:BATAINDIA&amp;layout=1","click here to view the chart")</f>
        <v>click here to view the chart</v>
      </c>
    </row>
    <row r="69" spans="4:16" x14ac:dyDescent="0.25">
      <c r="D69" s="6" t="s">
        <v>80</v>
      </c>
      <c r="E69" s="6">
        <v>67</v>
      </c>
      <c r="F69" s="6" t="s">
        <v>97</v>
      </c>
      <c r="G69" s="15" t="s">
        <v>25</v>
      </c>
      <c r="H69" s="15" t="s">
        <v>16</v>
      </c>
      <c r="I69" s="17" t="s">
        <v>20</v>
      </c>
      <c r="J69" s="6">
        <v>102.35</v>
      </c>
      <c r="K69" s="6">
        <v>106.9</v>
      </c>
      <c r="L69" s="6">
        <v>102.05</v>
      </c>
      <c r="M69" s="6">
        <v>105.95</v>
      </c>
      <c r="N69" s="6">
        <v>104.4</v>
      </c>
      <c r="O69" s="6">
        <v>21766333</v>
      </c>
      <c r="P69" s="14" t="str">
        <f>HYPERLINK("https://gocharting.com/terminal?ticker=NSE:BEL&amp;layout=1","click here to view the chart")</f>
        <v>click here to view the chart</v>
      </c>
    </row>
    <row r="70" spans="4:16" x14ac:dyDescent="0.25">
      <c r="D70" s="6" t="s">
        <v>80</v>
      </c>
      <c r="E70" s="6">
        <v>68</v>
      </c>
      <c r="F70" s="6" t="s">
        <v>98</v>
      </c>
      <c r="G70" s="16" t="s">
        <v>15</v>
      </c>
      <c r="H70" s="15" t="s">
        <v>16</v>
      </c>
      <c r="I70" s="16" t="s">
        <v>17</v>
      </c>
      <c r="J70" s="6">
        <v>614.9</v>
      </c>
      <c r="K70" s="6">
        <v>624</v>
      </c>
      <c r="L70" s="6">
        <v>612.9</v>
      </c>
      <c r="M70" s="6">
        <v>619.4</v>
      </c>
      <c r="N70" s="6">
        <v>631.75</v>
      </c>
      <c r="O70" s="6">
        <v>481126</v>
      </c>
      <c r="P70" s="14" t="str">
        <f>HYPERLINK("https://gocharting.com/terminal?ticker=NSE:BERGEPAINT&amp;layout=1","click here to view the chart")</f>
        <v>click here to view the chart</v>
      </c>
    </row>
    <row r="71" spans="4:16" x14ac:dyDescent="0.25">
      <c r="D71" s="6" t="s">
        <v>80</v>
      </c>
      <c r="E71" s="6">
        <v>69</v>
      </c>
      <c r="F71" s="6" t="s">
        <v>99</v>
      </c>
      <c r="G71" s="16" t="s">
        <v>15</v>
      </c>
      <c r="H71" s="15" t="s">
        <v>16</v>
      </c>
      <c r="I71" s="17" t="s">
        <v>20</v>
      </c>
      <c r="J71" s="6">
        <v>776.7</v>
      </c>
      <c r="K71" s="6">
        <v>787.75</v>
      </c>
      <c r="L71" s="6">
        <v>771.4</v>
      </c>
      <c r="M71" s="6">
        <v>777.3</v>
      </c>
      <c r="N71" s="6">
        <v>779.75</v>
      </c>
      <c r="O71" s="6">
        <v>2248106</v>
      </c>
      <c r="P71" s="14" t="str">
        <f>HYPERLINK("https://gocharting.com/terminal?ticker=NSE:BHARATFORG&amp;layout=1","click here to view the chart")</f>
        <v>click here to view the chart</v>
      </c>
    </row>
    <row r="72" spans="4:16" x14ac:dyDescent="0.25">
      <c r="D72" s="6" t="s">
        <v>80</v>
      </c>
      <c r="E72" s="6">
        <v>70</v>
      </c>
      <c r="F72" s="6" t="s">
        <v>100</v>
      </c>
      <c r="G72" s="15" t="s">
        <v>22</v>
      </c>
      <c r="H72" s="15" t="s">
        <v>16</v>
      </c>
      <c r="I72" s="15" t="s">
        <v>23</v>
      </c>
      <c r="J72" s="6">
        <v>63.3</v>
      </c>
      <c r="K72" s="6">
        <v>69.2</v>
      </c>
      <c r="L72" s="6">
        <v>62.6</v>
      </c>
      <c r="M72" s="6">
        <v>68.2</v>
      </c>
      <c r="N72" s="6">
        <v>63.15</v>
      </c>
      <c r="O72" s="6">
        <v>139761163</v>
      </c>
      <c r="P72" s="14" t="str">
        <f>HYPERLINK("https://gocharting.com/terminal?ticker=NSE:BHEL&amp;layout=1","click here to view the chart")</f>
        <v>click here to view the chart</v>
      </c>
    </row>
    <row r="73" spans="4:16" x14ac:dyDescent="0.25">
      <c r="D73" s="6" t="s">
        <v>80</v>
      </c>
      <c r="E73" s="6">
        <v>71</v>
      </c>
      <c r="F73" s="6" t="s">
        <v>101</v>
      </c>
      <c r="G73" s="16" t="s">
        <v>15</v>
      </c>
      <c r="H73" s="15" t="s">
        <v>16</v>
      </c>
      <c r="I73" s="16" t="s">
        <v>17</v>
      </c>
      <c r="J73" s="6">
        <v>265.05</v>
      </c>
      <c r="K73" s="6">
        <v>267.60000000000002</v>
      </c>
      <c r="L73" s="6">
        <v>264.45</v>
      </c>
      <c r="M73" s="6">
        <v>266.8</v>
      </c>
      <c r="N73" s="6">
        <v>269.5</v>
      </c>
      <c r="O73" s="6">
        <v>1152193</v>
      </c>
      <c r="P73" s="14" t="str">
        <f>HYPERLINK("https://gocharting.com/terminal?ticker=NSE:BIOCON&amp;layout=1","click here to view the chart")</f>
        <v>click here to view the chart</v>
      </c>
    </row>
    <row r="74" spans="4:16" x14ac:dyDescent="0.25">
      <c r="D74" s="6" t="s">
        <v>80</v>
      </c>
      <c r="E74" s="6">
        <v>72</v>
      </c>
      <c r="F74" s="6" t="s">
        <v>102</v>
      </c>
      <c r="G74" s="16" t="s">
        <v>15</v>
      </c>
      <c r="H74" s="15" t="s">
        <v>16</v>
      </c>
      <c r="I74" s="16" t="s">
        <v>17</v>
      </c>
      <c r="J74" s="6">
        <v>15640</v>
      </c>
      <c r="K74" s="6">
        <v>15741.95</v>
      </c>
      <c r="L74" s="6">
        <v>15606.05</v>
      </c>
      <c r="M74" s="6">
        <v>15669.65</v>
      </c>
      <c r="N74" s="6">
        <v>15887.05</v>
      </c>
      <c r="O74" s="6">
        <v>11193</v>
      </c>
      <c r="P74" s="14" t="str">
        <f>HYPERLINK("https://gocharting.com/terminal?ticker=NSE:BOSCHLTD&amp;layout=1","click here to view the chart")</f>
        <v>click here to view the chart</v>
      </c>
    </row>
    <row r="75" spans="4:16" x14ac:dyDescent="0.25">
      <c r="D75" s="6" t="s">
        <v>80</v>
      </c>
      <c r="E75" s="6">
        <v>73</v>
      </c>
      <c r="F75" s="6" t="s">
        <v>103</v>
      </c>
      <c r="G75" s="16" t="s">
        <v>199</v>
      </c>
      <c r="H75" s="16" t="s">
        <v>19</v>
      </c>
      <c r="I75" s="17" t="s">
        <v>20</v>
      </c>
      <c r="J75" s="6">
        <v>393.9</v>
      </c>
      <c r="K75" s="6">
        <v>393.9</v>
      </c>
      <c r="L75" s="6">
        <v>380.25</v>
      </c>
      <c r="M75" s="6">
        <v>384.4</v>
      </c>
      <c r="N75" s="6">
        <v>427</v>
      </c>
      <c r="O75" s="6">
        <v>2753356</v>
      </c>
      <c r="P75" s="14" t="str">
        <f>HYPERLINK("https://gocharting.com/terminal?ticker=NSE:CADILAHC&amp;layout=1","click here to view the chart")</f>
        <v>click here to view the chart</v>
      </c>
    </row>
    <row r="76" spans="4:16" x14ac:dyDescent="0.25">
      <c r="D76" s="6" t="s">
        <v>80</v>
      </c>
      <c r="E76" s="6">
        <v>74</v>
      </c>
      <c r="F76" s="6" t="s">
        <v>104</v>
      </c>
      <c r="G76" s="15" t="s">
        <v>22</v>
      </c>
      <c r="H76" s="15" t="s">
        <v>16</v>
      </c>
      <c r="I76" s="15" t="s">
        <v>23</v>
      </c>
      <c r="J76" s="6">
        <v>240</v>
      </c>
      <c r="K76" s="6">
        <v>251.1</v>
      </c>
      <c r="L76" s="6">
        <v>239.5</v>
      </c>
      <c r="M76" s="6">
        <v>250.25</v>
      </c>
      <c r="N76" s="6">
        <v>238.35</v>
      </c>
      <c r="O76" s="6">
        <v>20511341</v>
      </c>
      <c r="P76" s="14" t="str">
        <f>HYPERLINK("https://gocharting.com/terminal?ticker=NSE:CANBK&amp;layout=1","click here to view the chart")</f>
        <v>click here to view the chart</v>
      </c>
    </row>
    <row r="77" spans="4:16" x14ac:dyDescent="0.25">
      <c r="D77" s="6" t="s">
        <v>80</v>
      </c>
      <c r="E77" s="6">
        <v>75</v>
      </c>
      <c r="F77" s="6" t="s">
        <v>105</v>
      </c>
      <c r="G77" s="16" t="s">
        <v>15</v>
      </c>
      <c r="H77" s="15" t="s">
        <v>16</v>
      </c>
      <c r="I77" s="16" t="s">
        <v>17</v>
      </c>
      <c r="J77" s="6">
        <v>736.05</v>
      </c>
      <c r="K77" s="6">
        <v>749.2</v>
      </c>
      <c r="L77" s="6">
        <v>733.4</v>
      </c>
      <c r="M77" s="6">
        <v>746.8</v>
      </c>
      <c r="N77" s="6">
        <v>749.9</v>
      </c>
      <c r="O77" s="6">
        <v>870559</v>
      </c>
      <c r="P77" s="14" t="str">
        <f>HYPERLINK("https://gocharting.com/terminal?ticker=NSE:CHOLAFIN&amp;layout=1","click here to view the chart")</f>
        <v>click here to view the chart</v>
      </c>
    </row>
    <row r="78" spans="4:16" x14ac:dyDescent="0.25">
      <c r="D78" s="6" t="s">
        <v>80</v>
      </c>
      <c r="E78" s="6">
        <v>76</v>
      </c>
      <c r="F78" s="6" t="s">
        <v>106</v>
      </c>
      <c r="G78" s="15" t="s">
        <v>22</v>
      </c>
      <c r="H78" s="15" t="s">
        <v>16</v>
      </c>
      <c r="I78" s="17" t="s">
        <v>20</v>
      </c>
      <c r="J78" s="6">
        <v>3781.95</v>
      </c>
      <c r="K78" s="6">
        <v>3843.95</v>
      </c>
      <c r="L78" s="6">
        <v>3775</v>
      </c>
      <c r="M78" s="6">
        <v>3836.75</v>
      </c>
      <c r="N78" s="6">
        <v>3784</v>
      </c>
      <c r="O78" s="6">
        <v>300885</v>
      </c>
      <c r="P78" s="14" t="str">
        <f>HYPERLINK("https://gocharting.com/terminal?ticker=NSE:COFORGE&amp;layout=1","click here to view the chart")</f>
        <v>click here to view the chart</v>
      </c>
    </row>
    <row r="79" spans="4:16" x14ac:dyDescent="0.25">
      <c r="D79" s="6" t="s">
        <v>80</v>
      </c>
      <c r="E79" s="6">
        <v>77</v>
      </c>
      <c r="F79" s="6" t="s">
        <v>107</v>
      </c>
      <c r="G79" s="16" t="s">
        <v>15</v>
      </c>
      <c r="H79" s="15" t="s">
        <v>16</v>
      </c>
      <c r="I79" s="16" t="s">
        <v>17</v>
      </c>
      <c r="J79" s="6">
        <v>1575.65</v>
      </c>
      <c r="K79" s="6">
        <v>1588</v>
      </c>
      <c r="L79" s="6">
        <v>1570.15</v>
      </c>
      <c r="M79" s="6">
        <v>1578.8</v>
      </c>
      <c r="N79" s="6">
        <v>1589.2</v>
      </c>
      <c r="O79" s="6">
        <v>135038</v>
      </c>
      <c r="P79" s="14" t="str">
        <f>HYPERLINK("https://gocharting.com/terminal?ticker=NSE:COLPAL&amp;layout=1","click here to view the chart")</f>
        <v>click here to view the chart</v>
      </c>
    </row>
    <row r="80" spans="4:16" x14ac:dyDescent="0.25">
      <c r="D80" s="6" t="s">
        <v>80</v>
      </c>
      <c r="E80" s="6">
        <v>78</v>
      </c>
      <c r="F80" s="6" t="s">
        <v>108</v>
      </c>
      <c r="G80" s="15" t="s">
        <v>25</v>
      </c>
      <c r="H80" s="15" t="s">
        <v>16</v>
      </c>
      <c r="I80" s="17" t="s">
        <v>20</v>
      </c>
      <c r="J80" s="6">
        <v>719.95</v>
      </c>
      <c r="K80" s="6">
        <v>728.4</v>
      </c>
      <c r="L80" s="6">
        <v>707.55</v>
      </c>
      <c r="M80" s="6">
        <v>721.4</v>
      </c>
      <c r="N80" s="6">
        <v>720.8</v>
      </c>
      <c r="O80" s="6">
        <v>1463879</v>
      </c>
      <c r="P80" s="14" t="str">
        <f>HYPERLINK("https://gocharting.com/terminal?ticker=NSE:CONCOR&amp;layout=1","click here to view the chart")</f>
        <v>click here to view the chart</v>
      </c>
    </row>
    <row r="81" spans="4:16" x14ac:dyDescent="0.25">
      <c r="D81" s="6" t="s">
        <v>80</v>
      </c>
      <c r="E81" s="6">
        <v>79</v>
      </c>
      <c r="F81" s="6" t="s">
        <v>109</v>
      </c>
      <c r="G81" s="16" t="s">
        <v>19</v>
      </c>
      <c r="H81" s="16" t="s">
        <v>19</v>
      </c>
      <c r="I81" s="17" t="s">
        <v>20</v>
      </c>
      <c r="J81" s="6">
        <v>194.7</v>
      </c>
      <c r="K81" s="6">
        <v>195.3</v>
      </c>
      <c r="L81" s="6">
        <v>191.1</v>
      </c>
      <c r="M81" s="6">
        <v>193.35</v>
      </c>
      <c r="N81" s="6">
        <v>195</v>
      </c>
      <c r="O81" s="6">
        <v>4361335</v>
      </c>
      <c r="P81" s="14" t="str">
        <f>HYPERLINK("https://gocharting.com/terminal?ticker=NSE:CUB&amp;layout=1","click here to view the chart")</f>
        <v>click here to view the chart</v>
      </c>
    </row>
    <row r="82" spans="4:16" x14ac:dyDescent="0.25">
      <c r="D82" s="6" t="s">
        <v>80</v>
      </c>
      <c r="E82" s="6">
        <v>80</v>
      </c>
      <c r="F82" s="6" t="s">
        <v>110</v>
      </c>
      <c r="G82" s="16" t="s">
        <v>15</v>
      </c>
      <c r="H82" s="15" t="s">
        <v>16</v>
      </c>
      <c r="I82" s="16" t="s">
        <v>17</v>
      </c>
      <c r="J82" s="6">
        <v>1189</v>
      </c>
      <c r="K82" s="6">
        <v>1222.25</v>
      </c>
      <c r="L82" s="6">
        <v>1189</v>
      </c>
      <c r="M82" s="6">
        <v>1210.4000000000001</v>
      </c>
      <c r="N82" s="6">
        <v>1229</v>
      </c>
      <c r="O82" s="6">
        <v>296193</v>
      </c>
      <c r="P82" s="14" t="str">
        <f>HYPERLINK("https://gocharting.com/terminal?ticker=NSE:CUMMINSIND&amp;layout=1","click here to view the chart")</f>
        <v>click here to view the chart</v>
      </c>
    </row>
    <row r="83" spans="4:16" x14ac:dyDescent="0.25">
      <c r="D83" s="6" t="s">
        <v>80</v>
      </c>
      <c r="E83" s="6">
        <v>81</v>
      </c>
      <c r="F83" s="6" t="s">
        <v>111</v>
      </c>
      <c r="G83" s="16" t="s">
        <v>19</v>
      </c>
      <c r="H83" s="16" t="s">
        <v>19</v>
      </c>
      <c r="I83" s="16" t="s">
        <v>17</v>
      </c>
      <c r="J83" s="6">
        <v>531.54999999999995</v>
      </c>
      <c r="K83" s="6">
        <v>533.5</v>
      </c>
      <c r="L83" s="6">
        <v>528.70000000000005</v>
      </c>
      <c r="M83" s="6">
        <v>531.35</v>
      </c>
      <c r="N83" s="6">
        <v>538.85</v>
      </c>
      <c r="O83" s="6">
        <v>1247608</v>
      </c>
      <c r="P83" s="14" t="str">
        <f>HYPERLINK("https://gocharting.com/terminal?ticker=NSE:DABUR&amp;layout=1","click here to view the chart")</f>
        <v>click here to view the chart</v>
      </c>
    </row>
    <row r="84" spans="4:16" x14ac:dyDescent="0.25">
      <c r="D84" s="6" t="s">
        <v>80</v>
      </c>
      <c r="E84" s="6">
        <v>82</v>
      </c>
      <c r="F84" s="6" t="s">
        <v>112</v>
      </c>
      <c r="G84" s="16" t="s">
        <v>19</v>
      </c>
      <c r="H84" s="16" t="s">
        <v>19</v>
      </c>
      <c r="I84" s="16" t="s">
        <v>17</v>
      </c>
      <c r="J84" s="6">
        <v>2267.0500000000002</v>
      </c>
      <c r="K84" s="6">
        <v>2274.85</v>
      </c>
      <c r="L84" s="6">
        <v>2242.4</v>
      </c>
      <c r="M84" s="6">
        <v>2249.85</v>
      </c>
      <c r="N84" s="6">
        <v>2264</v>
      </c>
      <c r="O84" s="6">
        <v>497592</v>
      </c>
      <c r="P84" s="14" t="str">
        <f>HYPERLINK("https://gocharting.com/terminal?ticker=NSE:DEEPAKNTR&amp;layout=1","click here to view the chart")</f>
        <v>click here to view the chart</v>
      </c>
    </row>
    <row r="85" spans="4:16" x14ac:dyDescent="0.25">
      <c r="D85" s="6" t="s">
        <v>80</v>
      </c>
      <c r="E85" s="6">
        <v>83</v>
      </c>
      <c r="F85" s="6" t="s">
        <v>113</v>
      </c>
      <c r="G85" s="16" t="s">
        <v>15</v>
      </c>
      <c r="H85" s="15" t="s">
        <v>16</v>
      </c>
      <c r="I85" s="16" t="s">
        <v>17</v>
      </c>
      <c r="J85" s="6">
        <v>362.1</v>
      </c>
      <c r="K85" s="6">
        <v>369.3</v>
      </c>
      <c r="L85" s="6">
        <v>362</v>
      </c>
      <c r="M85" s="6">
        <v>365.65</v>
      </c>
      <c r="N85" s="6">
        <v>371.4</v>
      </c>
      <c r="O85" s="6">
        <v>2859419</v>
      </c>
      <c r="P85" s="14" t="str">
        <f>HYPERLINK("https://gocharting.com/terminal?ticker=NSE:DLF&amp;layout=1","click here to view the chart")</f>
        <v>click here to view the chart</v>
      </c>
    </row>
    <row r="86" spans="4:16" x14ac:dyDescent="0.25">
      <c r="D86" s="6" t="s">
        <v>80</v>
      </c>
      <c r="E86" s="6">
        <v>84</v>
      </c>
      <c r="F86" s="6" t="s">
        <v>114</v>
      </c>
      <c r="G86" s="16" t="s">
        <v>19</v>
      </c>
      <c r="H86" s="16" t="s">
        <v>19</v>
      </c>
      <c r="I86" s="16" t="s">
        <v>17</v>
      </c>
      <c r="J86" s="6">
        <v>1978.45</v>
      </c>
      <c r="K86" s="6">
        <v>1993</v>
      </c>
      <c r="L86" s="6">
        <v>1954.6</v>
      </c>
      <c r="M86" s="6">
        <v>1976.85</v>
      </c>
      <c r="N86" s="6">
        <v>2098</v>
      </c>
      <c r="O86" s="6">
        <v>339808</v>
      </c>
      <c r="P86" s="14" t="str">
        <f>HYPERLINK("https://gocharting.com/terminal?ticker=NSE:ESCORTS&amp;layout=1","click here to view the chart")</f>
        <v>click here to view the chart</v>
      </c>
    </row>
    <row r="87" spans="4:16" x14ac:dyDescent="0.25">
      <c r="D87" s="6" t="s">
        <v>80</v>
      </c>
      <c r="E87" s="6">
        <v>85</v>
      </c>
      <c r="F87" s="6" t="s">
        <v>115</v>
      </c>
      <c r="G87" s="16" t="s">
        <v>19</v>
      </c>
      <c r="H87" s="16" t="s">
        <v>19</v>
      </c>
      <c r="I87" s="16" t="s">
        <v>17</v>
      </c>
      <c r="J87" s="6">
        <v>155.75</v>
      </c>
      <c r="K87" s="6">
        <v>156.4</v>
      </c>
      <c r="L87" s="6">
        <v>154.65</v>
      </c>
      <c r="M87" s="6">
        <v>155.69999999999999</v>
      </c>
      <c r="N87" s="6">
        <v>158.5</v>
      </c>
      <c r="O87" s="6">
        <v>981337</v>
      </c>
      <c r="P87" s="14" t="str">
        <f>HYPERLINK("https://gocharting.com/terminal?ticker=NSE:EXIDEIND&amp;layout=1","click here to view the chart")</f>
        <v>click here to view the chart</v>
      </c>
    </row>
    <row r="88" spans="4:16" x14ac:dyDescent="0.25">
      <c r="D88" s="6" t="s">
        <v>80</v>
      </c>
      <c r="E88" s="6">
        <v>86</v>
      </c>
      <c r="F88" s="6" t="s">
        <v>116</v>
      </c>
      <c r="G88" s="16" t="s">
        <v>19</v>
      </c>
      <c r="H88" s="16" t="s">
        <v>19</v>
      </c>
      <c r="I88" s="16" t="s">
        <v>17</v>
      </c>
      <c r="J88" s="6">
        <v>132.80000000000001</v>
      </c>
      <c r="K88" s="6">
        <v>133.80000000000001</v>
      </c>
      <c r="L88" s="6">
        <v>131.75</v>
      </c>
      <c r="M88" s="6">
        <v>132.30000000000001</v>
      </c>
      <c r="N88" s="6">
        <v>132.69999999999999</v>
      </c>
      <c r="O88" s="6">
        <v>19209348</v>
      </c>
      <c r="P88" s="14" t="str">
        <f>HYPERLINK("https://gocharting.com/terminal?ticker=NSE:FEDERALBNK&amp;layout=1","click here to view the chart")</f>
        <v>click here to view the chart</v>
      </c>
    </row>
    <row r="89" spans="4:16" x14ac:dyDescent="0.25">
      <c r="D89" s="6" t="s">
        <v>80</v>
      </c>
      <c r="E89" s="6">
        <v>87</v>
      </c>
      <c r="F89" s="6" t="s">
        <v>117</v>
      </c>
      <c r="G89" s="16" t="s">
        <v>19</v>
      </c>
      <c r="H89" s="16" t="s">
        <v>19</v>
      </c>
      <c r="I89" s="16" t="s">
        <v>17</v>
      </c>
      <c r="J89" s="6">
        <v>85.5</v>
      </c>
      <c r="K89" s="6">
        <v>85.9</v>
      </c>
      <c r="L89" s="6">
        <v>84.9</v>
      </c>
      <c r="M89" s="6">
        <v>85</v>
      </c>
      <c r="N89" s="6">
        <v>87.2</v>
      </c>
      <c r="O89" s="6">
        <v>8035885</v>
      </c>
      <c r="P89" s="14" t="str">
        <f>HYPERLINK("https://gocharting.com/terminal?ticker=NSE:GAIL&amp;layout=1","click here to view the chart")</f>
        <v>click here to view the chart</v>
      </c>
    </row>
    <row r="90" spans="4:16" x14ac:dyDescent="0.25">
      <c r="D90" s="6" t="s">
        <v>80</v>
      </c>
      <c r="E90" s="6">
        <v>88</v>
      </c>
      <c r="F90" s="6" t="s">
        <v>118</v>
      </c>
      <c r="G90" s="16" t="s">
        <v>15</v>
      </c>
      <c r="H90" s="15" t="s">
        <v>16</v>
      </c>
      <c r="I90" s="16" t="s">
        <v>17</v>
      </c>
      <c r="J90" s="6">
        <v>395.2</v>
      </c>
      <c r="K90" s="6">
        <v>400.85</v>
      </c>
      <c r="L90" s="6">
        <v>390.6</v>
      </c>
      <c r="M90" s="6">
        <v>397.2</v>
      </c>
      <c r="N90" s="6">
        <v>397.95</v>
      </c>
      <c r="O90" s="6">
        <v>726464</v>
      </c>
      <c r="P90" s="14" t="str">
        <f>HYPERLINK("https://gocharting.com/terminal?ticker=NSE:GLENMARK&amp;layout=1","click here to view the chart")</f>
        <v>click here to view the chart</v>
      </c>
    </row>
    <row r="91" spans="4:16" x14ac:dyDescent="0.25">
      <c r="D91" s="6" t="s">
        <v>80</v>
      </c>
      <c r="E91" s="6">
        <v>89</v>
      </c>
      <c r="F91" s="6" t="s">
        <v>119</v>
      </c>
      <c r="G91" s="16" t="s">
        <v>15</v>
      </c>
      <c r="H91" s="15" t="s">
        <v>16</v>
      </c>
      <c r="I91" s="16" t="s">
        <v>17</v>
      </c>
      <c r="J91" s="6">
        <v>35.049999999999997</v>
      </c>
      <c r="K91" s="6">
        <v>35.6</v>
      </c>
      <c r="L91" s="6">
        <v>35</v>
      </c>
      <c r="M91" s="6">
        <v>35.4</v>
      </c>
      <c r="N91" s="6">
        <v>35.85</v>
      </c>
      <c r="O91" s="6">
        <v>3988603</v>
      </c>
      <c r="P91" s="14" t="str">
        <f>HYPERLINK("https://gocharting.com/terminal?ticker=NSE:GMRINFRA&amp;layout=1","click here to view the chart")</f>
        <v>click here to view the chart</v>
      </c>
    </row>
    <row r="92" spans="4:16" x14ac:dyDescent="0.25">
      <c r="D92" s="6" t="s">
        <v>80</v>
      </c>
      <c r="E92" s="6">
        <v>90</v>
      </c>
      <c r="F92" s="6" t="s">
        <v>120</v>
      </c>
      <c r="G92" s="16" t="s">
        <v>19</v>
      </c>
      <c r="H92" s="16" t="s">
        <v>19</v>
      </c>
      <c r="I92" s="16" t="s">
        <v>17</v>
      </c>
      <c r="J92" s="6">
        <v>837.8</v>
      </c>
      <c r="K92" s="6">
        <v>841.9</v>
      </c>
      <c r="L92" s="6">
        <v>829.55</v>
      </c>
      <c r="M92" s="6">
        <v>833.55</v>
      </c>
      <c r="N92" s="6">
        <v>856.75</v>
      </c>
      <c r="O92" s="6">
        <v>644793</v>
      </c>
      <c r="P92" s="14" t="str">
        <f>HYPERLINK("https://gocharting.com/terminal?ticker=NSE:GODREJCP&amp;layout=1","click here to view the chart")</f>
        <v>click here to view the chart</v>
      </c>
    </row>
    <row r="93" spans="4:16" x14ac:dyDescent="0.25">
      <c r="D93" s="6" t="s">
        <v>80</v>
      </c>
      <c r="E93" s="6">
        <v>91</v>
      </c>
      <c r="F93" s="6" t="s">
        <v>121</v>
      </c>
      <c r="G93" s="16" t="s">
        <v>15</v>
      </c>
      <c r="H93" s="15" t="s">
        <v>16</v>
      </c>
      <c r="I93" s="17" t="s">
        <v>20</v>
      </c>
      <c r="J93" s="6">
        <v>1192.9000000000001</v>
      </c>
      <c r="K93" s="6">
        <v>1212</v>
      </c>
      <c r="L93" s="6">
        <v>1190</v>
      </c>
      <c r="M93" s="6">
        <v>1204.5999999999999</v>
      </c>
      <c r="N93" s="6">
        <v>1208</v>
      </c>
      <c r="O93" s="6">
        <v>556958</v>
      </c>
      <c r="P93" s="14" t="str">
        <f>HYPERLINK("https://gocharting.com/terminal?ticker=NSE:GODREJPROP&amp;layout=1","click here to view the chart")</f>
        <v>click here to view the chart</v>
      </c>
    </row>
    <row r="94" spans="4:16" x14ac:dyDescent="0.25">
      <c r="D94" s="6" t="s">
        <v>80</v>
      </c>
      <c r="E94" s="6">
        <v>92</v>
      </c>
      <c r="F94" s="6" t="s">
        <v>122</v>
      </c>
      <c r="G94" s="15" t="s">
        <v>22</v>
      </c>
      <c r="H94" s="15" t="s">
        <v>16</v>
      </c>
      <c r="I94" s="17" t="s">
        <v>20</v>
      </c>
      <c r="J94" s="6">
        <v>351.9</v>
      </c>
      <c r="K94" s="6">
        <v>357.6</v>
      </c>
      <c r="L94" s="6">
        <v>344.8</v>
      </c>
      <c r="M94" s="6">
        <v>357.15</v>
      </c>
      <c r="N94" s="6">
        <v>351.9</v>
      </c>
      <c r="O94" s="6">
        <v>2532108</v>
      </c>
      <c r="P94" s="14" t="str">
        <f>HYPERLINK("https://gocharting.com/terminal?ticker=NSE:GRANULES&amp;layout=1","click here to view the chart")</f>
        <v>click here to view the chart</v>
      </c>
    </row>
    <row r="95" spans="4:16" x14ac:dyDescent="0.25">
      <c r="D95" s="6" t="s">
        <v>80</v>
      </c>
      <c r="E95" s="6">
        <v>93</v>
      </c>
      <c r="F95" s="6" t="s">
        <v>123</v>
      </c>
      <c r="G95" s="16" t="s">
        <v>19</v>
      </c>
      <c r="H95" s="16" t="s">
        <v>19</v>
      </c>
      <c r="I95" s="17" t="s">
        <v>20</v>
      </c>
      <c r="J95" s="6">
        <v>480</v>
      </c>
      <c r="K95" s="6">
        <v>482</v>
      </c>
      <c r="L95" s="6">
        <v>467.1</v>
      </c>
      <c r="M95" s="6">
        <v>476.35</v>
      </c>
      <c r="N95" s="6">
        <v>481.6</v>
      </c>
      <c r="O95" s="6">
        <v>1511272</v>
      </c>
      <c r="P95" s="14" t="str">
        <f>HYPERLINK("https://gocharting.com/terminal?ticker=NSE:GUJGASLTD&amp;layout=1","click here to view the chart")</f>
        <v>click here to view the chart</v>
      </c>
    </row>
    <row r="96" spans="4:16" x14ac:dyDescent="0.25">
      <c r="D96" s="6" t="s">
        <v>80</v>
      </c>
      <c r="E96" s="6">
        <v>94</v>
      </c>
      <c r="F96" s="6" t="s">
        <v>124</v>
      </c>
      <c r="G96" s="16" t="s">
        <v>15</v>
      </c>
      <c r="H96" s="15" t="s">
        <v>16</v>
      </c>
      <c r="I96" s="17" t="s">
        <v>20</v>
      </c>
      <c r="J96" s="6">
        <v>1238.2</v>
      </c>
      <c r="K96" s="6">
        <v>1262.4000000000001</v>
      </c>
      <c r="L96" s="6">
        <v>1234.5</v>
      </c>
      <c r="M96" s="6">
        <v>1257.05</v>
      </c>
      <c r="N96" s="6">
        <v>1285.8</v>
      </c>
      <c r="O96" s="6">
        <v>982630</v>
      </c>
      <c r="P96" s="14" t="str">
        <f>HYPERLINK("https://gocharting.com/terminal?ticker=NSE:HAVELLS&amp;layout=1","click here to view the chart")</f>
        <v>click here to view the chart</v>
      </c>
    </row>
    <row r="97" spans="4:16" x14ac:dyDescent="0.25">
      <c r="D97" s="6" t="s">
        <v>80</v>
      </c>
      <c r="E97" s="6">
        <v>95</v>
      </c>
      <c r="F97" s="6" t="s">
        <v>125</v>
      </c>
      <c r="G97" s="16" t="s">
        <v>15</v>
      </c>
      <c r="H97" s="15" t="s">
        <v>16</v>
      </c>
      <c r="I97" s="16" t="s">
        <v>17</v>
      </c>
      <c r="J97" s="6">
        <v>1921.2</v>
      </c>
      <c r="K97" s="6">
        <v>1946</v>
      </c>
      <c r="L97" s="6">
        <v>1920.95</v>
      </c>
      <c r="M97" s="6">
        <v>1934.2</v>
      </c>
      <c r="N97" s="6">
        <v>1939.85</v>
      </c>
      <c r="O97" s="6">
        <v>128186</v>
      </c>
      <c r="P97" s="14" t="str">
        <f>HYPERLINK("https://gocharting.com/terminal?ticker=NSE:HDFCAMC&amp;layout=1","click here to view the chart")</f>
        <v>click here to view the chart</v>
      </c>
    </row>
    <row r="98" spans="4:16" x14ac:dyDescent="0.25">
      <c r="D98" s="6" t="s">
        <v>80</v>
      </c>
      <c r="E98" s="6">
        <v>96</v>
      </c>
      <c r="F98" s="6" t="s">
        <v>126</v>
      </c>
      <c r="G98" s="16" t="s">
        <v>19</v>
      </c>
      <c r="H98" s="16" t="s">
        <v>19</v>
      </c>
      <c r="I98" s="16" t="s">
        <v>17</v>
      </c>
      <c r="J98" s="6">
        <v>203.4</v>
      </c>
      <c r="K98" s="6">
        <v>204</v>
      </c>
      <c r="L98" s="6">
        <v>200.6</v>
      </c>
      <c r="M98" s="6">
        <v>201.9</v>
      </c>
      <c r="N98" s="6">
        <v>215.65</v>
      </c>
      <c r="O98" s="6">
        <v>2610643</v>
      </c>
      <c r="P98" s="14" t="str">
        <f>HYPERLINK("https://gocharting.com/terminal?ticker=NSE:HINDPETRO&amp;layout=1","click here to view the chart")</f>
        <v>click here to view the chart</v>
      </c>
    </row>
    <row r="99" spans="4:16" x14ac:dyDescent="0.25">
      <c r="D99" s="6" t="s">
        <v>80</v>
      </c>
      <c r="E99" s="6">
        <v>97</v>
      </c>
      <c r="F99" s="6" t="s">
        <v>127</v>
      </c>
      <c r="G99" s="16" t="s">
        <v>19</v>
      </c>
      <c r="H99" s="16" t="s">
        <v>19</v>
      </c>
      <c r="I99" s="16" t="s">
        <v>17</v>
      </c>
      <c r="J99" s="6">
        <v>126.8</v>
      </c>
      <c r="K99" s="6">
        <v>127.6</v>
      </c>
      <c r="L99" s="6">
        <v>123.1</v>
      </c>
      <c r="M99" s="6">
        <v>123.9</v>
      </c>
      <c r="N99" s="6">
        <v>133.25</v>
      </c>
      <c r="O99" s="6">
        <v>8480819</v>
      </c>
      <c r="P99" s="14" t="str">
        <f>HYPERLINK("https://gocharting.com/terminal?ticker=NSE:IBULHSGFIN&amp;layout=1","click here to view the chart")</f>
        <v>click here to view the chart</v>
      </c>
    </row>
    <row r="100" spans="4:16" x14ac:dyDescent="0.25">
      <c r="D100" s="6" t="s">
        <v>80</v>
      </c>
      <c r="E100" s="6">
        <v>98</v>
      </c>
      <c r="F100" s="6" t="s">
        <v>128</v>
      </c>
      <c r="G100" s="15" t="s">
        <v>22</v>
      </c>
      <c r="H100" s="15" t="s">
        <v>16</v>
      </c>
      <c r="I100" s="17" t="s">
        <v>20</v>
      </c>
      <c r="J100" s="6">
        <v>1138.05</v>
      </c>
      <c r="K100" s="6">
        <v>1151</v>
      </c>
      <c r="L100" s="6">
        <v>1131.6500000000001</v>
      </c>
      <c r="M100" s="6">
        <v>1149.4000000000001</v>
      </c>
      <c r="N100" s="6">
        <v>1145</v>
      </c>
      <c r="O100" s="6">
        <v>1490999</v>
      </c>
      <c r="P100" s="14" t="str">
        <f>HYPERLINK("https://gocharting.com/terminal?ticker=NSE:ICICIGI&amp;layout=1","click here to view the chart")</f>
        <v>click here to view the chart</v>
      </c>
    </row>
    <row r="101" spans="4:16" x14ac:dyDescent="0.25">
      <c r="D101" s="6" t="s">
        <v>80</v>
      </c>
      <c r="E101" s="6">
        <v>99</v>
      </c>
      <c r="F101" s="6" t="s">
        <v>129</v>
      </c>
      <c r="G101" s="16" t="s">
        <v>15</v>
      </c>
      <c r="H101" s="15" t="s">
        <v>16</v>
      </c>
      <c r="I101" s="17" t="s">
        <v>20</v>
      </c>
      <c r="J101" s="6">
        <v>510</v>
      </c>
      <c r="K101" s="6">
        <v>514.70000000000005</v>
      </c>
      <c r="L101" s="6">
        <v>500.65</v>
      </c>
      <c r="M101" s="6">
        <v>513.4</v>
      </c>
      <c r="N101" s="6">
        <v>519.79999999999995</v>
      </c>
      <c r="O101" s="6">
        <v>1113585</v>
      </c>
      <c r="P101" s="14" t="str">
        <f>HYPERLINK("https://gocharting.com/terminal?ticker=NSE:ICICIPRULI&amp;layout=1","click here to view the chart")</f>
        <v>click here to view the chart</v>
      </c>
    </row>
    <row r="102" spans="4:16" x14ac:dyDescent="0.25">
      <c r="D102" s="6" t="s">
        <v>80</v>
      </c>
      <c r="E102" s="6">
        <v>100</v>
      </c>
      <c r="F102" s="6" t="s">
        <v>130</v>
      </c>
      <c r="G102" s="16" t="s">
        <v>19</v>
      </c>
      <c r="H102" s="17" t="s">
        <v>526</v>
      </c>
      <c r="I102" s="16" t="s">
        <v>17</v>
      </c>
      <c r="J102" s="6">
        <v>8.4499999999999993</v>
      </c>
      <c r="K102" s="6">
        <v>8.6</v>
      </c>
      <c r="L102" s="6">
        <v>8.4</v>
      </c>
      <c r="M102" s="6">
        <v>8.4499999999999993</v>
      </c>
      <c r="N102" s="6">
        <v>8.75</v>
      </c>
      <c r="O102" s="6">
        <v>57318958</v>
      </c>
      <c r="P102" s="14" t="str">
        <f>HYPERLINK("https://gocharting.com/terminal?ticker=NSE:IDEA&amp;layout=1","click here to view the chart")</f>
        <v>click here to view the chart</v>
      </c>
    </row>
    <row r="103" spans="4:16" x14ac:dyDescent="0.25">
      <c r="D103" s="6" t="s">
        <v>80</v>
      </c>
      <c r="E103" s="6">
        <v>101</v>
      </c>
      <c r="F103" s="6" t="s">
        <v>131</v>
      </c>
      <c r="G103" s="15" t="s">
        <v>25</v>
      </c>
      <c r="H103" s="15" t="s">
        <v>16</v>
      </c>
      <c r="I103" s="16" t="s">
        <v>17</v>
      </c>
      <c r="J103" s="6">
        <v>56.2</v>
      </c>
      <c r="K103" s="6">
        <v>56.5</v>
      </c>
      <c r="L103" s="6">
        <v>55.35</v>
      </c>
      <c r="M103" s="6">
        <v>56.4</v>
      </c>
      <c r="N103" s="6">
        <v>56</v>
      </c>
      <c r="O103" s="6">
        <v>44417062</v>
      </c>
      <c r="P103" s="14" t="str">
        <f>HYPERLINK("https://gocharting.com/terminal?ticker=NSE:IDFCFIRSTB&amp;layout=1","click here to view the chart")</f>
        <v>click here to view the chart</v>
      </c>
    </row>
    <row r="104" spans="4:16" x14ac:dyDescent="0.25">
      <c r="D104" s="6" t="s">
        <v>80</v>
      </c>
      <c r="E104" s="6">
        <v>102</v>
      </c>
      <c r="F104" s="6" t="s">
        <v>132</v>
      </c>
      <c r="G104" s="16" t="s">
        <v>19</v>
      </c>
      <c r="H104" s="16" t="s">
        <v>19</v>
      </c>
      <c r="I104" s="16" t="s">
        <v>17</v>
      </c>
      <c r="J104" s="6">
        <v>380.95</v>
      </c>
      <c r="K104" s="6">
        <v>382.35</v>
      </c>
      <c r="L104" s="6">
        <v>371.85</v>
      </c>
      <c r="M104" s="6">
        <v>379.6</v>
      </c>
      <c r="N104" s="6">
        <v>387.95</v>
      </c>
      <c r="O104" s="6">
        <v>2104907</v>
      </c>
      <c r="P104" s="14" t="str">
        <f>HYPERLINK("https://gocharting.com/terminal?ticker=NSE:IGL&amp;layout=1","click here to view the chart")</f>
        <v>click here to view the chart</v>
      </c>
    </row>
    <row r="105" spans="4:16" x14ac:dyDescent="0.25">
      <c r="D105" s="6" t="s">
        <v>80</v>
      </c>
      <c r="E105" s="6">
        <v>103</v>
      </c>
      <c r="F105" s="6" t="s">
        <v>133</v>
      </c>
      <c r="G105" s="16" t="s">
        <v>15</v>
      </c>
      <c r="H105" s="15" t="s">
        <v>16</v>
      </c>
      <c r="I105" s="16" t="s">
        <v>17</v>
      </c>
      <c r="J105" s="6">
        <v>1751</v>
      </c>
      <c r="K105" s="6">
        <v>1786.55</v>
      </c>
      <c r="L105" s="6">
        <v>1749.15</v>
      </c>
      <c r="M105" s="6">
        <v>1781</v>
      </c>
      <c r="N105" s="6">
        <v>1782</v>
      </c>
      <c r="O105" s="6">
        <v>375593</v>
      </c>
      <c r="P105" s="14" t="str">
        <f>HYPERLINK("https://gocharting.com/terminal?ticker=NSE:INDIGO&amp;layout=1","click here to view the chart")</f>
        <v>click here to view the chart</v>
      </c>
    </row>
    <row r="106" spans="4:16" x14ac:dyDescent="0.25">
      <c r="D106" s="6" t="s">
        <v>80</v>
      </c>
      <c r="E106" s="6">
        <v>104</v>
      </c>
      <c r="F106" s="6" t="s">
        <v>134</v>
      </c>
      <c r="G106" s="16" t="s">
        <v>15</v>
      </c>
      <c r="H106" s="15" t="s">
        <v>16</v>
      </c>
      <c r="I106" s="16" t="s">
        <v>17</v>
      </c>
      <c r="J106" s="6">
        <v>189.5</v>
      </c>
      <c r="K106" s="6">
        <v>191</v>
      </c>
      <c r="L106" s="6">
        <v>187.95</v>
      </c>
      <c r="M106" s="6">
        <v>189.75</v>
      </c>
      <c r="N106" s="6">
        <v>193.9</v>
      </c>
      <c r="O106" s="6">
        <v>1434279</v>
      </c>
      <c r="P106" s="14" t="str">
        <f>HYPERLINK("https://gocharting.com/terminal?ticker=NSE:INDUSTOWER&amp;layout=1","click here to view the chart")</f>
        <v>click here to view the chart</v>
      </c>
    </row>
    <row r="107" spans="4:16" x14ac:dyDescent="0.25">
      <c r="D107" s="6" t="s">
        <v>80</v>
      </c>
      <c r="E107" s="6">
        <v>105</v>
      </c>
      <c r="F107" s="6" t="s">
        <v>135</v>
      </c>
      <c r="G107" s="16" t="s">
        <v>19</v>
      </c>
      <c r="H107" s="16" t="s">
        <v>19</v>
      </c>
      <c r="I107" s="16" t="s">
        <v>17</v>
      </c>
      <c r="J107" s="6">
        <v>731.65</v>
      </c>
      <c r="K107" s="6">
        <v>734.7</v>
      </c>
      <c r="L107" s="6">
        <v>725</v>
      </c>
      <c r="M107" s="6">
        <v>731.15</v>
      </c>
      <c r="N107" s="6">
        <v>734.7</v>
      </c>
      <c r="O107" s="6">
        <v>1675213</v>
      </c>
      <c r="P107" s="14" t="str">
        <f>HYPERLINK("https://gocharting.com/terminal?ticker=NSE:IRCTC&amp;layout=1","click here to view the chart")</f>
        <v>click here to view the chart</v>
      </c>
    </row>
    <row r="108" spans="4:16" x14ac:dyDescent="0.25">
      <c r="D108" s="6" t="s">
        <v>80</v>
      </c>
      <c r="E108" s="6">
        <v>106</v>
      </c>
      <c r="F108" s="6" t="s">
        <v>136</v>
      </c>
      <c r="G108" s="16" t="s">
        <v>19</v>
      </c>
      <c r="H108" s="16" t="s">
        <v>19</v>
      </c>
      <c r="I108" s="16" t="s">
        <v>17</v>
      </c>
      <c r="J108" s="6">
        <v>441.95</v>
      </c>
      <c r="K108" s="6">
        <v>444.35</v>
      </c>
      <c r="L108" s="6">
        <v>437</v>
      </c>
      <c r="M108" s="6">
        <v>437.9</v>
      </c>
      <c r="N108" s="6">
        <v>443.8</v>
      </c>
      <c r="O108" s="6">
        <v>2378127</v>
      </c>
      <c r="P108" s="14" t="str">
        <f>HYPERLINK("https://gocharting.com/terminal?ticker=NSE:JINDALSTEL&amp;layout=1","click here to view the chart")</f>
        <v>click here to view the chart</v>
      </c>
    </row>
    <row r="109" spans="4:16" x14ac:dyDescent="0.25">
      <c r="D109" s="6" t="s">
        <v>80</v>
      </c>
      <c r="E109" s="6">
        <v>107</v>
      </c>
      <c r="F109" s="6" t="s">
        <v>137</v>
      </c>
      <c r="G109" s="16" t="s">
        <v>15</v>
      </c>
      <c r="H109" s="15" t="s">
        <v>16</v>
      </c>
      <c r="I109" s="16" t="s">
        <v>17</v>
      </c>
      <c r="J109" s="6">
        <v>600</v>
      </c>
      <c r="K109" s="6">
        <v>605.9</v>
      </c>
      <c r="L109" s="6">
        <v>597.6</v>
      </c>
      <c r="M109" s="6">
        <v>601.4</v>
      </c>
      <c r="N109" s="6">
        <v>616.65</v>
      </c>
      <c r="O109" s="6">
        <v>1511885</v>
      </c>
      <c r="P109" s="14" t="str">
        <f>HYPERLINK("https://gocharting.com/terminal?ticker=NSE:JUBLFOOD&amp;layout=1","click here to view the chart")</f>
        <v>click here to view the chart</v>
      </c>
    </row>
    <row r="110" spans="4:16" x14ac:dyDescent="0.25">
      <c r="D110" s="6" t="s">
        <v>80</v>
      </c>
      <c r="E110" s="6">
        <v>108</v>
      </c>
      <c r="F110" s="6" t="s">
        <v>138</v>
      </c>
      <c r="G110" s="15" t="s">
        <v>25</v>
      </c>
      <c r="H110" s="15" t="s">
        <v>16</v>
      </c>
      <c r="I110" s="17" t="s">
        <v>20</v>
      </c>
      <c r="J110" s="6">
        <v>77.8</v>
      </c>
      <c r="K110" s="6">
        <v>80.400000000000006</v>
      </c>
      <c r="L110" s="6">
        <v>77.8</v>
      </c>
      <c r="M110" s="6">
        <v>79.599999999999994</v>
      </c>
      <c r="N110" s="6">
        <v>78.400000000000006</v>
      </c>
      <c r="O110" s="6">
        <v>8032541</v>
      </c>
      <c r="P110" s="14" t="str">
        <f>HYPERLINK("https://gocharting.com/terminal?ticker=NSE:L&amp;TFH&amp;layout=1","click here to view the chart")</f>
        <v>click here to view the chart</v>
      </c>
    </row>
    <row r="111" spans="4:16" x14ac:dyDescent="0.25">
      <c r="D111" s="6" t="s">
        <v>80</v>
      </c>
      <c r="E111" s="6">
        <v>109</v>
      </c>
      <c r="F111" s="6" t="s">
        <v>139</v>
      </c>
      <c r="G111" s="15" t="s">
        <v>22</v>
      </c>
      <c r="H111" s="15" t="s">
        <v>16</v>
      </c>
      <c r="I111" s="16" t="s">
        <v>17</v>
      </c>
      <c r="J111" s="6">
        <v>2405</v>
      </c>
      <c r="K111" s="6">
        <v>2447.9499999999998</v>
      </c>
      <c r="L111" s="6">
        <v>2403</v>
      </c>
      <c r="M111" s="6">
        <v>2443.1</v>
      </c>
      <c r="N111" s="6">
        <v>2417.9499999999998</v>
      </c>
      <c r="O111" s="6">
        <v>111479</v>
      </c>
      <c r="P111" s="14" t="str">
        <f>HYPERLINK("https://gocharting.com/terminal?ticker=NSE:LALPATHLAB&amp;layout=1","click here to view the chart")</f>
        <v>click here to view the chart</v>
      </c>
    </row>
    <row r="112" spans="4:16" x14ac:dyDescent="0.25">
      <c r="D112" s="6" t="s">
        <v>80</v>
      </c>
      <c r="E112" s="6">
        <v>110</v>
      </c>
      <c r="F112" s="6" t="s">
        <v>140</v>
      </c>
      <c r="G112" s="15" t="s">
        <v>25</v>
      </c>
      <c r="H112" s="15" t="s">
        <v>16</v>
      </c>
      <c r="I112" s="17" t="s">
        <v>20</v>
      </c>
      <c r="J112" s="6">
        <v>410.35</v>
      </c>
      <c r="K112" s="6">
        <v>417</v>
      </c>
      <c r="L112" s="6">
        <v>407.4</v>
      </c>
      <c r="M112" s="6">
        <v>415.15</v>
      </c>
      <c r="N112" s="6">
        <v>414.45</v>
      </c>
      <c r="O112" s="6">
        <v>2971539</v>
      </c>
      <c r="P112" s="14" t="str">
        <f>HYPERLINK("https://gocharting.com/terminal?ticker=NSE:LICHSGFIN&amp;layout=1","click here to view the chart")</f>
        <v>click here to view the chart</v>
      </c>
    </row>
    <row r="113" spans="4:16" x14ac:dyDescent="0.25">
      <c r="D113" s="6" t="s">
        <v>80</v>
      </c>
      <c r="E113" s="6">
        <v>111</v>
      </c>
      <c r="F113" s="6" t="s">
        <v>141</v>
      </c>
      <c r="G113" s="16" t="s">
        <v>15</v>
      </c>
      <c r="H113" s="15" t="s">
        <v>16</v>
      </c>
      <c r="I113" s="16" t="s">
        <v>17</v>
      </c>
      <c r="J113" s="6">
        <v>4694</v>
      </c>
      <c r="K113" s="6">
        <v>4787.8</v>
      </c>
      <c r="L113" s="6">
        <v>4672</v>
      </c>
      <c r="M113" s="6">
        <v>4722.3999999999996</v>
      </c>
      <c r="N113" s="6">
        <v>4816</v>
      </c>
      <c r="O113" s="6">
        <v>317650</v>
      </c>
      <c r="P113" s="14" t="str">
        <f>HYPERLINK("https://gocharting.com/terminal?ticker=NSE:LTI&amp;layout=1","click here to view the chart")</f>
        <v>click here to view the chart</v>
      </c>
    </row>
    <row r="114" spans="4:16" x14ac:dyDescent="0.25">
      <c r="D114" s="6" t="s">
        <v>80</v>
      </c>
      <c r="E114" s="6">
        <v>112</v>
      </c>
      <c r="F114" s="6" t="s">
        <v>142</v>
      </c>
      <c r="G114" s="16" t="s">
        <v>15</v>
      </c>
      <c r="H114" s="15" t="s">
        <v>16</v>
      </c>
      <c r="I114" s="17" t="s">
        <v>20</v>
      </c>
      <c r="J114" s="6">
        <v>3634.9</v>
      </c>
      <c r="K114" s="6">
        <v>3683</v>
      </c>
      <c r="L114" s="6">
        <v>3600</v>
      </c>
      <c r="M114" s="6">
        <v>3675.1</v>
      </c>
      <c r="N114" s="6">
        <v>3689.5</v>
      </c>
      <c r="O114" s="6">
        <v>308498</v>
      </c>
      <c r="P114" s="14" t="str">
        <f>HYPERLINK("https://gocharting.com/terminal?ticker=NSE:LTTS&amp;layout=1","click here to view the chart")</f>
        <v>click here to view the chart</v>
      </c>
    </row>
    <row r="115" spans="4:16" x14ac:dyDescent="0.25">
      <c r="D115" s="6" t="s">
        <v>80</v>
      </c>
      <c r="E115" s="6">
        <v>113</v>
      </c>
      <c r="F115" s="6" t="s">
        <v>143</v>
      </c>
      <c r="G115" s="16" t="s">
        <v>19</v>
      </c>
      <c r="H115" s="16" t="s">
        <v>19</v>
      </c>
      <c r="I115" s="16" t="s">
        <v>17</v>
      </c>
      <c r="J115" s="6">
        <v>694.15</v>
      </c>
      <c r="K115" s="6">
        <v>695.95</v>
      </c>
      <c r="L115" s="6">
        <v>682.25</v>
      </c>
      <c r="M115" s="6">
        <v>693.8</v>
      </c>
      <c r="N115" s="6">
        <v>698.75</v>
      </c>
      <c r="O115" s="6">
        <v>682092</v>
      </c>
      <c r="P115" s="14" t="str">
        <f>HYPERLINK("https://gocharting.com/terminal?ticker=NSE:LUPIN&amp;layout=1","click here to view the chart")</f>
        <v>click here to view the chart</v>
      </c>
    </row>
    <row r="116" spans="4:16" x14ac:dyDescent="0.25">
      <c r="D116" s="6" t="s">
        <v>80</v>
      </c>
      <c r="E116" s="6">
        <v>114</v>
      </c>
      <c r="F116" s="6" t="s">
        <v>144</v>
      </c>
      <c r="G116" s="15" t="s">
        <v>25</v>
      </c>
      <c r="H116" s="15" t="s">
        <v>16</v>
      </c>
      <c r="I116" s="17" t="s">
        <v>20</v>
      </c>
      <c r="J116" s="6">
        <v>212.5</v>
      </c>
      <c r="K116" s="6">
        <v>218.9</v>
      </c>
      <c r="L116" s="6">
        <v>212.05</v>
      </c>
      <c r="M116" s="6">
        <v>212.9</v>
      </c>
      <c r="N116" s="6">
        <v>211.95</v>
      </c>
      <c r="O116" s="6">
        <v>6738568</v>
      </c>
      <c r="P116" s="14" t="str">
        <f>HYPERLINK("https://gocharting.com/terminal?ticker=NSE:M&amp;MFIN&amp;layout=1","click here to view the chart")</f>
        <v>click here to view the chart</v>
      </c>
    </row>
    <row r="117" spans="4:16" x14ac:dyDescent="0.25">
      <c r="D117" s="6" t="s">
        <v>80</v>
      </c>
      <c r="E117" s="6">
        <v>115</v>
      </c>
      <c r="F117" s="6" t="s">
        <v>145</v>
      </c>
      <c r="G117" s="16" t="s">
        <v>15</v>
      </c>
      <c r="H117" s="15" t="s">
        <v>16</v>
      </c>
      <c r="I117" s="17" t="s">
        <v>20</v>
      </c>
      <c r="J117" s="6">
        <v>102.55</v>
      </c>
      <c r="K117" s="6">
        <v>105.4</v>
      </c>
      <c r="L117" s="6">
        <v>102.1</v>
      </c>
      <c r="M117" s="6">
        <v>103.25</v>
      </c>
      <c r="N117" s="6">
        <v>104.65</v>
      </c>
      <c r="O117" s="6">
        <v>7036520</v>
      </c>
      <c r="P117" s="14" t="str">
        <f>HYPERLINK("https://gocharting.com/terminal?ticker=NSE:MANAPPURAM&amp;layout=1","click here to view the chart")</f>
        <v>click here to view the chart</v>
      </c>
    </row>
    <row r="118" spans="4:16" x14ac:dyDescent="0.25">
      <c r="D118" s="6" t="s">
        <v>80</v>
      </c>
      <c r="E118" s="6">
        <v>116</v>
      </c>
      <c r="F118" s="6" t="s">
        <v>146</v>
      </c>
      <c r="G118" s="16" t="s">
        <v>19</v>
      </c>
      <c r="H118" s="16" t="s">
        <v>19</v>
      </c>
      <c r="I118" s="16" t="s">
        <v>17</v>
      </c>
      <c r="J118" s="6">
        <v>516.54999999999995</v>
      </c>
      <c r="K118" s="6">
        <v>518.70000000000005</v>
      </c>
      <c r="L118" s="6">
        <v>512.95000000000005</v>
      </c>
      <c r="M118" s="6">
        <v>515.85</v>
      </c>
      <c r="N118" s="6">
        <v>523.9</v>
      </c>
      <c r="O118" s="6">
        <v>446492</v>
      </c>
      <c r="P118" s="14" t="str">
        <f>HYPERLINK("https://gocharting.com/terminal?ticker=NSE:MARICO&amp;layout=1","click here to view the chart")</f>
        <v>click here to view the chart</v>
      </c>
    </row>
    <row r="119" spans="4:16" x14ac:dyDescent="0.25">
      <c r="D119" s="6" t="s">
        <v>80</v>
      </c>
      <c r="E119" s="6">
        <v>117</v>
      </c>
      <c r="F119" s="6" t="s">
        <v>147</v>
      </c>
      <c r="G119" s="16" t="s">
        <v>15</v>
      </c>
      <c r="H119" s="15" t="s">
        <v>16</v>
      </c>
      <c r="I119" s="16" t="s">
        <v>17</v>
      </c>
      <c r="J119" s="6">
        <v>830</v>
      </c>
      <c r="K119" s="6">
        <v>836.8</v>
      </c>
      <c r="L119" s="6">
        <v>827.6</v>
      </c>
      <c r="M119" s="6">
        <v>834.15</v>
      </c>
      <c r="N119" s="6">
        <v>845</v>
      </c>
      <c r="O119" s="6">
        <v>748435</v>
      </c>
      <c r="P119" s="14" t="str">
        <f>HYPERLINK("https://gocharting.com/terminal?ticker=NSE:MCDOWELL-N&amp;layout=1","click here to view the chart")</f>
        <v>click here to view the chart</v>
      </c>
    </row>
    <row r="120" spans="4:16" x14ac:dyDescent="0.25">
      <c r="D120" s="6" t="s">
        <v>80</v>
      </c>
      <c r="E120" s="6">
        <v>118</v>
      </c>
      <c r="F120" s="6" t="s">
        <v>148</v>
      </c>
      <c r="G120" s="16" t="s">
        <v>15</v>
      </c>
      <c r="H120" s="15" t="s">
        <v>16</v>
      </c>
      <c r="I120" s="16" t="s">
        <v>17</v>
      </c>
      <c r="J120" s="6">
        <v>715</v>
      </c>
      <c r="K120" s="6">
        <v>732.95</v>
      </c>
      <c r="L120" s="6">
        <v>706.05</v>
      </c>
      <c r="M120" s="6">
        <v>724.85</v>
      </c>
      <c r="N120" s="6">
        <v>759.6</v>
      </c>
      <c r="O120" s="6">
        <v>1046655</v>
      </c>
      <c r="P120" s="14" t="str">
        <f>HYPERLINK("https://gocharting.com/terminal?ticker=NSE:MFSL&amp;layout=1","click here to view the chart")</f>
        <v>click here to view the chart</v>
      </c>
    </row>
    <row r="121" spans="4:16" x14ac:dyDescent="0.25">
      <c r="D121" s="6" t="s">
        <v>80</v>
      </c>
      <c r="E121" s="6">
        <v>119</v>
      </c>
      <c r="F121" s="6" t="s">
        <v>149</v>
      </c>
      <c r="G121" s="16" t="s">
        <v>19</v>
      </c>
      <c r="H121" s="16" t="s">
        <v>19</v>
      </c>
      <c r="I121" s="17" t="s">
        <v>20</v>
      </c>
      <c r="J121" s="6">
        <v>802</v>
      </c>
      <c r="K121" s="6">
        <v>805.7</v>
      </c>
      <c r="L121" s="6">
        <v>787.15</v>
      </c>
      <c r="M121" s="6">
        <v>796.35</v>
      </c>
      <c r="N121" s="6">
        <v>816.15</v>
      </c>
      <c r="O121" s="6">
        <v>635158</v>
      </c>
      <c r="P121" s="14" t="str">
        <f>HYPERLINK("https://gocharting.com/terminal?ticker=NSE:MGL&amp;layout=1","click here to view the chart")</f>
        <v>click here to view the chart</v>
      </c>
    </row>
    <row r="122" spans="4:16" x14ac:dyDescent="0.25">
      <c r="D122" s="6" t="s">
        <v>80</v>
      </c>
      <c r="E122" s="6">
        <v>120</v>
      </c>
      <c r="F122" s="6" t="s">
        <v>150</v>
      </c>
      <c r="G122" s="16" t="s">
        <v>15</v>
      </c>
      <c r="H122" s="15" t="s">
        <v>16</v>
      </c>
      <c r="I122" s="16" t="s">
        <v>17</v>
      </c>
      <c r="J122" s="6">
        <v>3363.5</v>
      </c>
      <c r="K122" s="6">
        <v>3455</v>
      </c>
      <c r="L122" s="6">
        <v>3352</v>
      </c>
      <c r="M122" s="6">
        <v>3420.1</v>
      </c>
      <c r="N122" s="6">
        <v>3472.05</v>
      </c>
      <c r="O122" s="6">
        <v>747408</v>
      </c>
      <c r="P122" s="14" t="str">
        <f>HYPERLINK("https://gocharting.com/terminal?ticker=NSE:MINDTREE&amp;layout=1","click here to view the chart")</f>
        <v>click here to view the chart</v>
      </c>
    </row>
    <row r="123" spans="4:16" x14ac:dyDescent="0.25">
      <c r="D123" s="6" t="s">
        <v>80</v>
      </c>
      <c r="E123" s="6">
        <v>121</v>
      </c>
      <c r="F123" s="6" t="s">
        <v>151</v>
      </c>
      <c r="G123" s="16" t="s">
        <v>199</v>
      </c>
      <c r="H123" s="16" t="s">
        <v>19</v>
      </c>
      <c r="I123" s="16" t="s">
        <v>17</v>
      </c>
      <c r="J123" s="6">
        <v>176</v>
      </c>
      <c r="K123" s="6">
        <v>176</v>
      </c>
      <c r="L123" s="6">
        <v>170.15</v>
      </c>
      <c r="M123" s="6">
        <v>174.15</v>
      </c>
      <c r="N123" s="6">
        <v>187.6</v>
      </c>
      <c r="O123" s="6">
        <v>5678221</v>
      </c>
      <c r="P123" s="14" t="str">
        <f>HYPERLINK("https://gocharting.com/terminal?ticker=NSE:MOTHERSUMI&amp;layout=1","click here to view the chart")</f>
        <v>click here to view the chart</v>
      </c>
    </row>
    <row r="124" spans="4:16" x14ac:dyDescent="0.25">
      <c r="D124" s="6" t="s">
        <v>80</v>
      </c>
      <c r="E124" s="6">
        <v>122</v>
      </c>
      <c r="F124" s="6" t="s">
        <v>152</v>
      </c>
      <c r="G124" s="16" t="s">
        <v>15</v>
      </c>
      <c r="H124" s="15" t="s">
        <v>16</v>
      </c>
      <c r="I124" s="16" t="s">
        <v>17</v>
      </c>
      <c r="J124" s="6">
        <v>2111.6999999999998</v>
      </c>
      <c r="K124" s="6">
        <v>2132</v>
      </c>
      <c r="L124" s="6">
        <v>2106</v>
      </c>
      <c r="M124" s="6">
        <v>2115</v>
      </c>
      <c r="N124" s="6">
        <v>2150</v>
      </c>
      <c r="O124" s="6">
        <v>311138</v>
      </c>
      <c r="P124" s="14" t="str">
        <f>HYPERLINK("https://gocharting.com/terminal?ticker=NSE:MPHASIS&amp;layout=1","click here to view the chart")</f>
        <v>click here to view the chart</v>
      </c>
    </row>
    <row r="125" spans="4:16" x14ac:dyDescent="0.25">
      <c r="D125" s="6" t="s">
        <v>80</v>
      </c>
      <c r="E125" s="6">
        <v>123</v>
      </c>
      <c r="F125" s="6" t="s">
        <v>153</v>
      </c>
      <c r="G125" s="16" t="s">
        <v>15</v>
      </c>
      <c r="H125" s="15" t="s">
        <v>16</v>
      </c>
      <c r="I125" s="16" t="s">
        <v>17</v>
      </c>
      <c r="J125" s="6">
        <v>82670</v>
      </c>
      <c r="K125" s="6">
        <v>83300</v>
      </c>
      <c r="L125" s="6">
        <v>82426.75</v>
      </c>
      <c r="M125" s="6">
        <v>83088.149999999994</v>
      </c>
      <c r="N125" s="6">
        <v>83200</v>
      </c>
      <c r="O125" s="6">
        <v>5618</v>
      </c>
      <c r="P125" s="14" t="str">
        <f>HYPERLINK("https://gocharting.com/terminal?ticker=NSE:MRF&amp;layout=1","click here to view the chart")</f>
        <v>click here to view the chart</v>
      </c>
    </row>
    <row r="126" spans="4:16" x14ac:dyDescent="0.25">
      <c r="D126" s="6" t="s">
        <v>80</v>
      </c>
      <c r="E126" s="6">
        <v>124</v>
      </c>
      <c r="F126" s="6" t="s">
        <v>154</v>
      </c>
      <c r="G126" s="16" t="s">
        <v>15</v>
      </c>
      <c r="H126" s="15" t="s">
        <v>16</v>
      </c>
      <c r="I126" s="16" t="s">
        <v>17</v>
      </c>
      <c r="J126" s="6">
        <v>1024</v>
      </c>
      <c r="K126" s="6">
        <v>1043.5999999999999</v>
      </c>
      <c r="L126" s="6">
        <v>1023.55</v>
      </c>
      <c r="M126" s="6">
        <v>1040.8499999999999</v>
      </c>
      <c r="N126" s="6">
        <v>1041</v>
      </c>
      <c r="O126" s="6">
        <v>568881</v>
      </c>
      <c r="P126" s="14" t="str">
        <f>HYPERLINK("https://gocharting.com/terminal?ticker=NSE:MUTHOOTFIN&amp;layout=1","click here to view the chart")</f>
        <v>click here to view the chart</v>
      </c>
    </row>
    <row r="127" spans="4:16" x14ac:dyDescent="0.25">
      <c r="D127" s="6" t="s">
        <v>80</v>
      </c>
      <c r="E127" s="6">
        <v>125</v>
      </c>
      <c r="F127" s="6" t="s">
        <v>155</v>
      </c>
      <c r="G127" s="16" t="s">
        <v>19</v>
      </c>
      <c r="H127" s="16" t="s">
        <v>19</v>
      </c>
      <c r="I127" s="16" t="s">
        <v>17</v>
      </c>
      <c r="J127" s="6">
        <v>272.39999999999998</v>
      </c>
      <c r="K127" s="6">
        <v>273.39999999999998</v>
      </c>
      <c r="L127" s="6">
        <v>268.3</v>
      </c>
      <c r="M127" s="6">
        <v>269.35000000000002</v>
      </c>
      <c r="N127" s="6">
        <v>279.39999999999998</v>
      </c>
      <c r="O127" s="6">
        <v>265431</v>
      </c>
      <c r="P127" s="14" t="str">
        <f>HYPERLINK("https://gocharting.com/terminal?ticker=NSE:NAM-INDIA&amp;layout=1","click here to view the chart")</f>
        <v>click here to view the chart</v>
      </c>
    </row>
    <row r="128" spans="4:16" x14ac:dyDescent="0.25">
      <c r="D128" s="6" t="s">
        <v>80</v>
      </c>
      <c r="E128" s="6">
        <v>126</v>
      </c>
      <c r="F128" s="6" t="s">
        <v>156</v>
      </c>
      <c r="G128" s="16" t="s">
        <v>19</v>
      </c>
      <c r="H128" s="16" t="s">
        <v>19</v>
      </c>
      <c r="I128" s="16" t="s">
        <v>17</v>
      </c>
      <c r="J128" s="6">
        <v>69.2</v>
      </c>
      <c r="K128" s="6">
        <v>69.599999999999994</v>
      </c>
      <c r="L128" s="6">
        <v>68.5</v>
      </c>
      <c r="M128" s="6">
        <v>68.650000000000006</v>
      </c>
      <c r="N128" s="6">
        <v>73.599999999999994</v>
      </c>
      <c r="O128" s="6">
        <v>8941289</v>
      </c>
      <c r="P128" s="14" t="str">
        <f>HYPERLINK("https://gocharting.com/terminal?ticker=NSE:NATIONALUM&amp;layout=1","click here to view the chart")</f>
        <v>click here to view the chart</v>
      </c>
    </row>
    <row r="129" spans="4:16" x14ac:dyDescent="0.25">
      <c r="D129" s="6" t="s">
        <v>80</v>
      </c>
      <c r="E129" s="6">
        <v>127</v>
      </c>
      <c r="F129" s="6" t="s">
        <v>157</v>
      </c>
      <c r="G129" s="16" t="s">
        <v>15</v>
      </c>
      <c r="H129" s="15" t="s">
        <v>16</v>
      </c>
      <c r="I129" s="16" t="s">
        <v>17</v>
      </c>
      <c r="J129" s="6">
        <v>3825</v>
      </c>
      <c r="K129" s="6">
        <v>3876.6</v>
      </c>
      <c r="L129" s="6">
        <v>3795.2</v>
      </c>
      <c r="M129" s="6">
        <v>3860.3</v>
      </c>
      <c r="N129" s="6">
        <v>3890</v>
      </c>
      <c r="O129" s="6">
        <v>246241</v>
      </c>
      <c r="P129" s="14" t="str">
        <f>HYPERLINK("https://gocharting.com/terminal?ticker=NSE:NAUKRI&amp;layout=1","click here to view the chart")</f>
        <v>click here to view the chart</v>
      </c>
    </row>
    <row r="130" spans="4:16" x14ac:dyDescent="0.25">
      <c r="D130" s="6" t="s">
        <v>80</v>
      </c>
      <c r="E130" s="6">
        <v>128</v>
      </c>
      <c r="F130" s="6" t="s">
        <v>158</v>
      </c>
      <c r="G130" s="16" t="s">
        <v>19</v>
      </c>
      <c r="H130" s="16" t="s">
        <v>19</v>
      </c>
      <c r="I130" s="15" t="s">
        <v>23</v>
      </c>
      <c r="J130" s="6">
        <v>4455</v>
      </c>
      <c r="K130" s="6">
        <v>4464</v>
      </c>
      <c r="L130" s="6">
        <v>4270.05</v>
      </c>
      <c r="M130" s="6">
        <v>4286.8</v>
      </c>
      <c r="N130" s="6">
        <v>4740</v>
      </c>
      <c r="O130" s="6">
        <v>407048</v>
      </c>
      <c r="P130" s="14" t="str">
        <f>HYPERLINK("https://gocharting.com/terminal?ticker=NSE:NAVINFLUOR&amp;layout=1","click here to view the chart")</f>
        <v>click here to view the chart</v>
      </c>
    </row>
    <row r="131" spans="4:16" x14ac:dyDescent="0.25">
      <c r="D131" s="6" t="s">
        <v>80</v>
      </c>
      <c r="E131" s="6">
        <v>129</v>
      </c>
      <c r="F131" s="6" t="s">
        <v>159</v>
      </c>
      <c r="G131" s="16" t="s">
        <v>19</v>
      </c>
      <c r="H131" s="16" t="s">
        <v>19</v>
      </c>
      <c r="I131" s="16" t="s">
        <v>17</v>
      </c>
      <c r="J131" s="6">
        <v>134.75</v>
      </c>
      <c r="K131" s="6">
        <v>134.75</v>
      </c>
      <c r="L131" s="6">
        <v>131</v>
      </c>
      <c r="M131" s="6">
        <v>131.80000000000001</v>
      </c>
      <c r="N131" s="6">
        <v>134.69999999999999</v>
      </c>
      <c r="O131" s="6">
        <v>6749699</v>
      </c>
      <c r="P131" s="14" t="str">
        <f>HYPERLINK("https://gocharting.com/terminal?ticker=NSE:NMDC&amp;layout=1","click here to view the chart")</f>
        <v>click here to view the chart</v>
      </c>
    </row>
    <row r="132" spans="4:16" x14ac:dyDescent="0.25">
      <c r="D132" s="6" t="s">
        <v>80</v>
      </c>
      <c r="E132" s="6">
        <v>130</v>
      </c>
      <c r="F132" s="6" t="s">
        <v>160</v>
      </c>
      <c r="G132" s="16" t="s">
        <v>15</v>
      </c>
      <c r="H132" s="15" t="s">
        <v>16</v>
      </c>
      <c r="I132" s="16" t="s">
        <v>17</v>
      </c>
      <c r="J132" s="6">
        <v>51511</v>
      </c>
      <c r="K132" s="6">
        <v>52500</v>
      </c>
      <c r="L132" s="6">
        <v>51441.4</v>
      </c>
      <c r="M132" s="6">
        <v>52346</v>
      </c>
      <c r="N132" s="6">
        <v>52900</v>
      </c>
      <c r="O132" s="6">
        <v>12610</v>
      </c>
      <c r="P132" s="14" t="str">
        <f>HYPERLINK("https://gocharting.com/terminal?ticker=NSE:PAGEIND&amp;layout=1","click here to view the chart")</f>
        <v>click here to view the chart</v>
      </c>
    </row>
    <row r="133" spans="4:16" x14ac:dyDescent="0.25">
      <c r="D133" s="6" t="s">
        <v>80</v>
      </c>
      <c r="E133" s="6">
        <v>131</v>
      </c>
      <c r="F133" s="6" t="s">
        <v>161</v>
      </c>
      <c r="G133" s="16" t="s">
        <v>15</v>
      </c>
      <c r="H133" s="15" t="s">
        <v>16</v>
      </c>
      <c r="I133" s="17" t="s">
        <v>20</v>
      </c>
      <c r="J133" s="6">
        <v>812.55</v>
      </c>
      <c r="K133" s="6">
        <v>825.2</v>
      </c>
      <c r="L133" s="6">
        <v>807</v>
      </c>
      <c r="M133" s="6">
        <v>819.9</v>
      </c>
      <c r="N133" s="6">
        <v>829.5</v>
      </c>
      <c r="O133" s="6">
        <v>1122207</v>
      </c>
      <c r="P133" s="14" t="str">
        <f>HYPERLINK("https://gocharting.com/terminal?ticker=NSE:PEL&amp;layout=1","click here to view the chart")</f>
        <v>click here to view the chart</v>
      </c>
    </row>
    <row r="134" spans="4:16" x14ac:dyDescent="0.25">
      <c r="D134" s="6" t="s">
        <v>80</v>
      </c>
      <c r="E134" s="6">
        <v>132</v>
      </c>
      <c r="F134" s="6" t="s">
        <v>162</v>
      </c>
      <c r="G134" s="16" t="s">
        <v>19</v>
      </c>
      <c r="H134" s="16" t="s">
        <v>19</v>
      </c>
      <c r="I134" s="16" t="s">
        <v>17</v>
      </c>
      <c r="J134" s="6">
        <v>201.9</v>
      </c>
      <c r="K134" s="6">
        <v>202.4</v>
      </c>
      <c r="L134" s="6">
        <v>199.7</v>
      </c>
      <c r="M134" s="6">
        <v>201.45</v>
      </c>
      <c r="N134" s="6">
        <v>204.25</v>
      </c>
      <c r="O134" s="6">
        <v>1141295</v>
      </c>
      <c r="P134" s="14" t="str">
        <f>HYPERLINK("https://gocharting.com/terminal?ticker=NSE:PETRONET&amp;layout=1","click here to view the chart")</f>
        <v>click here to view the chart</v>
      </c>
    </row>
    <row r="135" spans="4:16" x14ac:dyDescent="0.25">
      <c r="D135" s="6" t="s">
        <v>80</v>
      </c>
      <c r="E135" s="6">
        <v>133</v>
      </c>
      <c r="F135" s="6" t="s">
        <v>163</v>
      </c>
      <c r="G135" s="15" t="s">
        <v>22</v>
      </c>
      <c r="H135" s="15" t="s">
        <v>16</v>
      </c>
      <c r="I135" s="17" t="s">
        <v>20</v>
      </c>
      <c r="J135" s="6">
        <v>102.35</v>
      </c>
      <c r="K135" s="6">
        <v>104.4</v>
      </c>
      <c r="L135" s="6">
        <v>101.5</v>
      </c>
      <c r="M135" s="6">
        <v>104.15</v>
      </c>
      <c r="N135" s="6">
        <v>103.5</v>
      </c>
      <c r="O135" s="6">
        <v>7956793</v>
      </c>
      <c r="P135" s="14" t="str">
        <f>HYPERLINK("https://gocharting.com/terminal?ticker=NSE:PFC&amp;layout=1","click here to view the chart")</f>
        <v>click here to view the chart</v>
      </c>
    </row>
    <row r="136" spans="4:16" x14ac:dyDescent="0.25">
      <c r="D136" s="6" t="s">
        <v>80</v>
      </c>
      <c r="E136" s="6">
        <v>134</v>
      </c>
      <c r="F136" s="6" t="s">
        <v>164</v>
      </c>
      <c r="G136" s="16" t="s">
        <v>19</v>
      </c>
      <c r="H136" s="16" t="s">
        <v>19</v>
      </c>
      <c r="I136" s="16" t="s">
        <v>17</v>
      </c>
      <c r="J136" s="6">
        <v>4398</v>
      </c>
      <c r="K136" s="6">
        <v>4398</v>
      </c>
      <c r="L136" s="6">
        <v>4335.05</v>
      </c>
      <c r="M136" s="6">
        <v>4342.8999999999996</v>
      </c>
      <c r="N136" s="6">
        <v>4487</v>
      </c>
      <c r="O136" s="6">
        <v>21241</v>
      </c>
      <c r="P136" s="14" t="str">
        <f>HYPERLINK("https://gocharting.com/terminal?ticker=NSE:PFIZER&amp;layout=1","click here to view the chart")</f>
        <v>click here to view the chart</v>
      </c>
    </row>
    <row r="137" spans="4:16" x14ac:dyDescent="0.25">
      <c r="D137" s="6" t="s">
        <v>80</v>
      </c>
      <c r="E137" s="6">
        <v>135</v>
      </c>
      <c r="F137" s="6" t="s">
        <v>165</v>
      </c>
      <c r="G137" s="15" t="s">
        <v>25</v>
      </c>
      <c r="H137" s="15" t="s">
        <v>16</v>
      </c>
      <c r="I137" s="17" t="s">
        <v>20</v>
      </c>
      <c r="J137" s="6">
        <v>2704.9</v>
      </c>
      <c r="K137" s="6">
        <v>2737.5</v>
      </c>
      <c r="L137" s="6">
        <v>2685</v>
      </c>
      <c r="M137" s="6">
        <v>2712.65</v>
      </c>
      <c r="N137" s="6">
        <v>2709.15</v>
      </c>
      <c r="O137" s="6">
        <v>436400</v>
      </c>
      <c r="P137" s="14" t="str">
        <f>HYPERLINK("https://gocharting.com/terminal?ticker=NSE:PIDILITIND&amp;layout=1","click here to view the chart")</f>
        <v>click here to view the chart</v>
      </c>
    </row>
    <row r="138" spans="4:16" x14ac:dyDescent="0.25">
      <c r="D138" s="6" t="s">
        <v>80</v>
      </c>
      <c r="E138" s="6">
        <v>136</v>
      </c>
      <c r="F138" s="6" t="s">
        <v>166</v>
      </c>
      <c r="G138" s="16" t="s">
        <v>15</v>
      </c>
      <c r="H138" s="15" t="s">
        <v>16</v>
      </c>
      <c r="I138" s="17" t="s">
        <v>20</v>
      </c>
      <c r="J138" s="6">
        <v>3074.1</v>
      </c>
      <c r="K138" s="6">
        <v>3100</v>
      </c>
      <c r="L138" s="6">
        <v>3038</v>
      </c>
      <c r="M138" s="6">
        <v>3088.95</v>
      </c>
      <c r="N138" s="6">
        <v>3098.6</v>
      </c>
      <c r="O138" s="6">
        <v>293883</v>
      </c>
      <c r="P138" s="14" t="str">
        <f>HYPERLINK("https://gocharting.com/terminal?ticker=NSE:PIIND&amp;layout=1","click here to view the chart")</f>
        <v>click here to view the chart</v>
      </c>
    </row>
    <row r="139" spans="4:16" x14ac:dyDescent="0.25">
      <c r="D139" s="6" t="s">
        <v>80</v>
      </c>
      <c r="E139" s="6">
        <v>137</v>
      </c>
      <c r="F139" s="6" t="s">
        <v>167</v>
      </c>
      <c r="G139" s="15" t="s">
        <v>22</v>
      </c>
      <c r="H139" s="15" t="s">
        <v>16</v>
      </c>
      <c r="I139" s="15" t="s">
        <v>23</v>
      </c>
      <c r="J139" s="6">
        <v>37.200000000000003</v>
      </c>
      <c r="K139" s="6">
        <v>39.1</v>
      </c>
      <c r="L139" s="6">
        <v>37.049999999999997</v>
      </c>
      <c r="M139" s="6">
        <v>38.85</v>
      </c>
      <c r="N139" s="6">
        <v>37.25</v>
      </c>
      <c r="O139" s="6">
        <v>93855098</v>
      </c>
      <c r="P139" s="14" t="str">
        <f>HYPERLINK("https://gocharting.com/terminal?ticker=NSE:PNB&amp;layout=1","click here to view the chart")</f>
        <v>click here to view the chart</v>
      </c>
    </row>
    <row r="140" spans="4:16" x14ac:dyDescent="0.25">
      <c r="D140" s="6" t="s">
        <v>80</v>
      </c>
      <c r="E140" s="6">
        <v>138</v>
      </c>
      <c r="F140" s="6" t="s">
        <v>168</v>
      </c>
      <c r="G140" s="16" t="s">
        <v>15</v>
      </c>
      <c r="H140" s="15" t="s">
        <v>16</v>
      </c>
      <c r="I140" s="17" t="s">
        <v>20</v>
      </c>
      <c r="J140" s="6">
        <v>1695</v>
      </c>
      <c r="K140" s="6">
        <v>1732</v>
      </c>
      <c r="L140" s="6">
        <v>1677.5</v>
      </c>
      <c r="M140" s="6">
        <v>1726.65</v>
      </c>
      <c r="N140" s="6">
        <v>1748.2</v>
      </c>
      <c r="O140" s="6">
        <v>971102</v>
      </c>
      <c r="P140" s="14" t="str">
        <f>HYPERLINK("https://gocharting.com/terminal?ticker=NSE:PVR&amp;layout=1","click here to view the chart")</f>
        <v>click here to view the chart</v>
      </c>
    </row>
    <row r="141" spans="4:16" x14ac:dyDescent="0.25">
      <c r="D141" s="6" t="s">
        <v>80</v>
      </c>
      <c r="E141" s="6">
        <v>139</v>
      </c>
      <c r="F141" s="6" t="s">
        <v>169</v>
      </c>
      <c r="G141" s="16" t="s">
        <v>19</v>
      </c>
      <c r="H141" s="16" t="s">
        <v>19</v>
      </c>
      <c r="I141" s="16" t="s">
        <v>17</v>
      </c>
      <c r="J141" s="6">
        <v>709.6</v>
      </c>
      <c r="K141" s="6">
        <v>712.3</v>
      </c>
      <c r="L141" s="6">
        <v>700</v>
      </c>
      <c r="M141" s="6">
        <v>706.1</v>
      </c>
      <c r="N141" s="6">
        <v>714.95</v>
      </c>
      <c r="O141" s="6">
        <v>147005</v>
      </c>
      <c r="P141" s="14" t="str">
        <f>HYPERLINK("https://gocharting.com/terminal?ticker=NSE:RAMCOCEM&amp;layout=1","click here to view the chart")</f>
        <v>click here to view the chart</v>
      </c>
    </row>
    <row r="142" spans="4:16" x14ac:dyDescent="0.25">
      <c r="D142" s="6" t="s">
        <v>80</v>
      </c>
      <c r="E142" s="6">
        <v>140</v>
      </c>
      <c r="F142" s="6" t="s">
        <v>170</v>
      </c>
      <c r="G142" s="15" t="s">
        <v>25</v>
      </c>
      <c r="H142" s="15" t="s">
        <v>16</v>
      </c>
      <c r="I142" s="17" t="s">
        <v>20</v>
      </c>
      <c r="J142" s="6">
        <v>127.7</v>
      </c>
      <c r="K142" s="6">
        <v>131</v>
      </c>
      <c r="L142" s="6">
        <v>127</v>
      </c>
      <c r="M142" s="6">
        <v>129.35</v>
      </c>
      <c r="N142" s="6">
        <v>127.55</v>
      </c>
      <c r="O142" s="6">
        <v>15598447</v>
      </c>
      <c r="P142" s="14" t="str">
        <f>HYPERLINK("https://gocharting.com/terminal?ticker=NSE:RBLBANK&amp;layout=1","click here to view the chart")</f>
        <v>click here to view the chart</v>
      </c>
    </row>
    <row r="143" spans="4:16" x14ac:dyDescent="0.25">
      <c r="D143" s="6" t="s">
        <v>80</v>
      </c>
      <c r="E143" s="6">
        <v>141</v>
      </c>
      <c r="F143" s="6" t="s">
        <v>171</v>
      </c>
      <c r="G143" s="15" t="s">
        <v>22</v>
      </c>
      <c r="H143" s="15" t="s">
        <v>16</v>
      </c>
      <c r="I143" s="17" t="s">
        <v>20</v>
      </c>
      <c r="J143" s="6">
        <v>92.15</v>
      </c>
      <c r="K143" s="6">
        <v>94.3</v>
      </c>
      <c r="L143" s="6">
        <v>91.85</v>
      </c>
      <c r="M143" s="6">
        <v>93.9</v>
      </c>
      <c r="N143" s="6">
        <v>93.2</v>
      </c>
      <c r="O143" s="6">
        <v>8152180</v>
      </c>
      <c r="P143" s="14" t="str">
        <f>HYPERLINK("https://gocharting.com/terminal?ticker=NSE:RECLTD&amp;layout=1","click here to view the chart")</f>
        <v>click here to view the chart</v>
      </c>
    </row>
    <row r="144" spans="4:16" x14ac:dyDescent="0.25">
      <c r="D144" s="6" t="s">
        <v>80</v>
      </c>
      <c r="E144" s="6">
        <v>142</v>
      </c>
      <c r="F144" s="6" t="s">
        <v>172</v>
      </c>
      <c r="G144" s="16" t="s">
        <v>15</v>
      </c>
      <c r="H144" s="15" t="s">
        <v>16</v>
      </c>
      <c r="I144" s="16" t="s">
        <v>17</v>
      </c>
      <c r="J144" s="6">
        <v>78.650000000000006</v>
      </c>
      <c r="K144" s="6">
        <v>79.2</v>
      </c>
      <c r="L144" s="6">
        <v>78.25</v>
      </c>
      <c r="M144" s="6">
        <v>78.900000000000006</v>
      </c>
      <c r="N144" s="6">
        <v>80</v>
      </c>
      <c r="O144" s="6">
        <v>9906432</v>
      </c>
      <c r="P144" s="14" t="str">
        <f>HYPERLINK("https://gocharting.com/terminal?ticker=NSE:SAIL&amp;layout=1","click here to view the chart")</f>
        <v>click here to view the chart</v>
      </c>
    </row>
    <row r="145" spans="4:16" x14ac:dyDescent="0.25">
      <c r="D145" s="6" t="s">
        <v>80</v>
      </c>
      <c r="E145" s="6">
        <v>143</v>
      </c>
      <c r="F145" s="6" t="s">
        <v>173</v>
      </c>
      <c r="G145" s="15" t="s">
        <v>25</v>
      </c>
      <c r="H145" s="15" t="s">
        <v>16</v>
      </c>
      <c r="I145" s="15" t="s">
        <v>23</v>
      </c>
      <c r="J145" s="6">
        <v>2750.4</v>
      </c>
      <c r="K145" s="6">
        <v>2848</v>
      </c>
      <c r="L145" s="6">
        <v>2736.05</v>
      </c>
      <c r="M145" s="6">
        <v>2823.7</v>
      </c>
      <c r="N145" s="6">
        <v>2791.8</v>
      </c>
      <c r="O145" s="6">
        <v>336855</v>
      </c>
      <c r="P145" s="14" t="str">
        <f>HYPERLINK("https://gocharting.com/terminal?ticker=NSE:SIEMENS&amp;layout=1","click here to view the chart")</f>
        <v>click here to view the chart</v>
      </c>
    </row>
    <row r="146" spans="4:16" x14ac:dyDescent="0.25">
      <c r="D146" s="6" t="s">
        <v>80</v>
      </c>
      <c r="E146" s="6">
        <v>144</v>
      </c>
      <c r="F146" s="6" t="s">
        <v>174</v>
      </c>
      <c r="G146" s="16" t="s">
        <v>19</v>
      </c>
      <c r="H146" s="16" t="s">
        <v>19</v>
      </c>
      <c r="I146" s="16" t="s">
        <v>17</v>
      </c>
      <c r="J146" s="6">
        <v>2565</v>
      </c>
      <c r="K146" s="6">
        <v>2584.85</v>
      </c>
      <c r="L146" s="6">
        <v>2558.15</v>
      </c>
      <c r="M146" s="6">
        <v>2564.1999999999998</v>
      </c>
      <c r="N146" s="6">
        <v>2571.5</v>
      </c>
      <c r="O146" s="6">
        <v>448673</v>
      </c>
      <c r="P146" s="14" t="str">
        <f>HYPERLINK("https://gocharting.com/terminal?ticker=NSE:SRF&amp;layout=1","click here to view the chart")</f>
        <v>click here to view the chart</v>
      </c>
    </row>
    <row r="147" spans="4:16" x14ac:dyDescent="0.25">
      <c r="D147" s="6" t="s">
        <v>80</v>
      </c>
      <c r="E147" s="6">
        <v>145</v>
      </c>
      <c r="F147" s="6" t="s">
        <v>175</v>
      </c>
      <c r="G147" s="15" t="s">
        <v>25</v>
      </c>
      <c r="H147" s="15" t="s">
        <v>16</v>
      </c>
      <c r="I147" s="17" t="s">
        <v>20</v>
      </c>
      <c r="J147" s="6">
        <v>1209.8</v>
      </c>
      <c r="K147" s="6">
        <v>1230.8499999999999</v>
      </c>
      <c r="L147" s="6">
        <v>1201.5999999999999</v>
      </c>
      <c r="M147" s="6">
        <v>1224.1500000000001</v>
      </c>
      <c r="N147" s="6">
        <v>1217.8499999999999</v>
      </c>
      <c r="O147" s="6">
        <v>878966</v>
      </c>
      <c r="P147" s="14" t="str">
        <f>HYPERLINK("https://gocharting.com/terminal?ticker=NSE:SRTRANSFIN&amp;layout=1","click here to view the chart")</f>
        <v>click here to view the chart</v>
      </c>
    </row>
    <row r="148" spans="4:16" x14ac:dyDescent="0.25">
      <c r="D148" s="6" t="s">
        <v>80</v>
      </c>
      <c r="E148" s="6">
        <v>146</v>
      </c>
      <c r="F148" s="6" t="s">
        <v>176</v>
      </c>
      <c r="G148" s="16" t="s">
        <v>15</v>
      </c>
      <c r="H148" s="15" t="s">
        <v>16</v>
      </c>
      <c r="I148" s="16" t="s">
        <v>17</v>
      </c>
      <c r="J148" s="6">
        <v>532.95000000000005</v>
      </c>
      <c r="K148" s="6">
        <v>536.85</v>
      </c>
      <c r="L148" s="6">
        <v>530.25</v>
      </c>
      <c r="M148" s="6">
        <v>534.75</v>
      </c>
      <c r="N148" s="6">
        <v>551</v>
      </c>
      <c r="O148" s="6">
        <v>490008</v>
      </c>
      <c r="P148" s="14" t="str">
        <f>HYPERLINK("https://gocharting.com/terminal?ticker=NSE:SUNTV&amp;layout=1","click here to view the chart")</f>
        <v>click here to view the chart</v>
      </c>
    </row>
    <row r="149" spans="4:16" x14ac:dyDescent="0.25">
      <c r="D149" s="6" t="s">
        <v>80</v>
      </c>
      <c r="E149" s="6">
        <v>147</v>
      </c>
      <c r="F149" s="6" t="s">
        <v>177</v>
      </c>
      <c r="G149" s="16" t="s">
        <v>19</v>
      </c>
      <c r="H149" s="16" t="s">
        <v>19</v>
      </c>
      <c r="I149" s="16" t="s">
        <v>17</v>
      </c>
      <c r="J149" s="6">
        <v>1170.0999999999999</v>
      </c>
      <c r="K149" s="6">
        <v>1180</v>
      </c>
      <c r="L149" s="6">
        <v>1153.5</v>
      </c>
      <c r="M149" s="6">
        <v>1166.45</v>
      </c>
      <c r="N149" s="6">
        <v>1177.3</v>
      </c>
      <c r="O149" s="6">
        <v>1828207</v>
      </c>
      <c r="P149" s="14" t="str">
        <f>HYPERLINK("https://gocharting.com/terminal?ticker=NSE:TATACHEM&amp;layout=1","click here to view the chart")</f>
        <v>click here to view the chart</v>
      </c>
    </row>
    <row r="150" spans="4:16" x14ac:dyDescent="0.25">
      <c r="D150" s="6" t="s">
        <v>80</v>
      </c>
      <c r="E150" s="6">
        <v>148</v>
      </c>
      <c r="F150" s="6" t="s">
        <v>178</v>
      </c>
      <c r="G150" s="15" t="s">
        <v>25</v>
      </c>
      <c r="H150" s="15" t="s">
        <v>16</v>
      </c>
      <c r="I150" s="17" t="s">
        <v>20</v>
      </c>
      <c r="J150" s="6">
        <v>219.05</v>
      </c>
      <c r="K150" s="6">
        <v>222</v>
      </c>
      <c r="L150" s="6">
        <v>218.65</v>
      </c>
      <c r="M150" s="6">
        <v>220.65</v>
      </c>
      <c r="N150" s="6">
        <v>220.6</v>
      </c>
      <c r="O150" s="6">
        <v>10267276</v>
      </c>
      <c r="P150" s="14" t="str">
        <f>HYPERLINK("https://gocharting.com/terminal?ticker=NSE:TATAPOWER&amp;layout=1","click here to view the chart")</f>
        <v>click here to view the chart</v>
      </c>
    </row>
    <row r="151" spans="4:16" x14ac:dyDescent="0.25">
      <c r="D151" s="6" t="s">
        <v>80</v>
      </c>
      <c r="E151" s="6">
        <v>149</v>
      </c>
      <c r="F151" s="6" t="s">
        <v>179</v>
      </c>
      <c r="G151" s="16" t="s">
        <v>19</v>
      </c>
      <c r="H151" s="16" t="s">
        <v>19</v>
      </c>
      <c r="I151" s="16" t="s">
        <v>17</v>
      </c>
      <c r="J151" s="6">
        <v>1588.45</v>
      </c>
      <c r="K151" s="6">
        <v>1592.35</v>
      </c>
      <c r="L151" s="6">
        <v>1557.75</v>
      </c>
      <c r="M151" s="6">
        <v>1563.1</v>
      </c>
      <c r="N151" s="6">
        <v>1624.9</v>
      </c>
      <c r="O151" s="6">
        <v>229531</v>
      </c>
      <c r="P151" s="14" t="str">
        <f>HYPERLINK("https://gocharting.com/terminal?ticker=NSE:TORNTPHARM&amp;layout=1","click here to view the chart")</f>
        <v>click here to view the chart</v>
      </c>
    </row>
    <row r="152" spans="4:16" x14ac:dyDescent="0.25">
      <c r="D152" s="6" t="s">
        <v>80</v>
      </c>
      <c r="E152" s="6">
        <v>150</v>
      </c>
      <c r="F152" s="6" t="s">
        <v>180</v>
      </c>
      <c r="G152" s="16" t="s">
        <v>19</v>
      </c>
      <c r="H152" s="16" t="s">
        <v>19</v>
      </c>
      <c r="I152" s="16" t="s">
        <v>17</v>
      </c>
      <c r="J152" s="6">
        <v>484.75</v>
      </c>
      <c r="K152" s="6">
        <v>485.2</v>
      </c>
      <c r="L152" s="6">
        <v>477.5</v>
      </c>
      <c r="M152" s="6">
        <v>482.45</v>
      </c>
      <c r="N152" s="6">
        <v>487.5</v>
      </c>
      <c r="O152" s="6">
        <v>279844</v>
      </c>
      <c r="P152" s="14" t="str">
        <f>HYPERLINK("https://gocharting.com/terminal?ticker=NSE:TORNTPOWER&amp;layout=1","click here to view the chart")</f>
        <v>click here to view the chart</v>
      </c>
    </row>
    <row r="153" spans="4:16" x14ac:dyDescent="0.25">
      <c r="D153" s="6" t="s">
        <v>80</v>
      </c>
      <c r="E153" s="6">
        <v>151</v>
      </c>
      <c r="F153" s="6" t="s">
        <v>181</v>
      </c>
      <c r="G153" s="16" t="s">
        <v>15</v>
      </c>
      <c r="H153" s="15" t="s">
        <v>16</v>
      </c>
      <c r="I153" s="17" t="s">
        <v>20</v>
      </c>
      <c r="J153" s="6">
        <v>1387</v>
      </c>
      <c r="K153" s="6">
        <v>1436</v>
      </c>
      <c r="L153" s="6">
        <v>1373.3</v>
      </c>
      <c r="M153" s="6">
        <v>1428.9</v>
      </c>
      <c r="N153" s="6">
        <v>1439.85</v>
      </c>
      <c r="O153" s="6">
        <v>651226</v>
      </c>
      <c r="P153" s="14" t="str">
        <f>HYPERLINK("https://gocharting.com/terminal?ticker=NSE:TRENT&amp;layout=1","click here to view the chart")</f>
        <v>click here to view the chart</v>
      </c>
    </row>
    <row r="154" spans="4:16" x14ac:dyDescent="0.25">
      <c r="D154" s="6" t="s">
        <v>80</v>
      </c>
      <c r="E154" s="6">
        <v>152</v>
      </c>
      <c r="F154" s="6" t="s">
        <v>182</v>
      </c>
      <c r="G154" s="15" t="s">
        <v>22</v>
      </c>
      <c r="H154" s="15" t="s">
        <v>16</v>
      </c>
      <c r="I154" s="15" t="s">
        <v>23</v>
      </c>
      <c r="J154" s="6">
        <v>1092</v>
      </c>
      <c r="K154" s="6">
        <v>1135</v>
      </c>
      <c r="L154" s="6">
        <v>1089.8</v>
      </c>
      <c r="M154" s="6">
        <v>1129.05</v>
      </c>
      <c r="N154" s="6">
        <v>1106.9000000000001</v>
      </c>
      <c r="O154" s="6">
        <v>3359533</v>
      </c>
      <c r="P154" s="14" t="str">
        <f>HYPERLINK("https://gocharting.com/terminal?ticker=NSE:TVSMOTOR&amp;layout=1","click here to view the chart")</f>
        <v>click here to view the chart</v>
      </c>
    </row>
    <row r="155" spans="4:16" x14ac:dyDescent="0.25">
      <c r="D155" s="6" t="s">
        <v>80</v>
      </c>
      <c r="E155" s="6">
        <v>153</v>
      </c>
      <c r="F155" s="6" t="s">
        <v>183</v>
      </c>
      <c r="G155" s="15" t="s">
        <v>25</v>
      </c>
      <c r="H155" s="15" t="s">
        <v>16</v>
      </c>
      <c r="I155" s="16" t="s">
        <v>17</v>
      </c>
      <c r="J155" s="6">
        <v>1675</v>
      </c>
      <c r="K155" s="6">
        <v>1690</v>
      </c>
      <c r="L155" s="6">
        <v>1663.35</v>
      </c>
      <c r="M155" s="6">
        <v>1684.45</v>
      </c>
      <c r="N155" s="6">
        <v>1680.3</v>
      </c>
      <c r="O155" s="6">
        <v>143234</v>
      </c>
      <c r="P155" s="14" t="str">
        <f>HYPERLINK("https://gocharting.com/terminal?ticker=NSE:UBL&amp;layout=1","click here to view the chart")</f>
        <v>click here to view the chart</v>
      </c>
    </row>
    <row r="156" spans="4:16" x14ac:dyDescent="0.25">
      <c r="D156" s="6" t="s">
        <v>80</v>
      </c>
      <c r="E156" s="6">
        <v>154</v>
      </c>
      <c r="F156" s="6" t="s">
        <v>184</v>
      </c>
      <c r="G156" s="16" t="s">
        <v>19</v>
      </c>
      <c r="H156" s="16" t="s">
        <v>19</v>
      </c>
      <c r="I156" s="16" t="s">
        <v>17</v>
      </c>
      <c r="J156" s="6">
        <v>282.5</v>
      </c>
      <c r="K156" s="6">
        <v>284.39999999999998</v>
      </c>
      <c r="L156" s="6">
        <v>279</v>
      </c>
      <c r="M156" s="6">
        <v>279.7</v>
      </c>
      <c r="N156" s="6">
        <v>299.35000000000002</v>
      </c>
      <c r="O156" s="6">
        <v>6076753</v>
      </c>
      <c r="P156" s="14" t="str">
        <f>HYPERLINK("https://gocharting.com/terminal?ticker=NSE:VEDL&amp;layout=1","click here to view the chart")</f>
        <v>click here to view the chart</v>
      </c>
    </row>
    <row r="157" spans="4:16" x14ac:dyDescent="0.25">
      <c r="D157" s="6" t="s">
        <v>80</v>
      </c>
      <c r="E157" s="6">
        <v>155</v>
      </c>
      <c r="F157" s="6" t="s">
        <v>185</v>
      </c>
      <c r="G157" s="16" t="s">
        <v>15</v>
      </c>
      <c r="H157" s="15" t="s">
        <v>16</v>
      </c>
      <c r="I157" s="17" t="s">
        <v>20</v>
      </c>
      <c r="J157" s="6">
        <v>874</v>
      </c>
      <c r="K157" s="6">
        <v>880.8</v>
      </c>
      <c r="L157" s="6">
        <v>871.4</v>
      </c>
      <c r="M157" s="6">
        <v>874.95</v>
      </c>
      <c r="N157" s="6">
        <v>886</v>
      </c>
      <c r="O157" s="6">
        <v>1165692</v>
      </c>
      <c r="P157" s="14" t="str">
        <f>HYPERLINK("https://gocharting.com/terminal?ticker=NSE:VOLTAS&amp;layout=1","click here to view the chart")</f>
        <v>click here to view the chart</v>
      </c>
    </row>
    <row r="158" spans="4:16" x14ac:dyDescent="0.25">
      <c r="D158" s="6" t="s">
        <v>80</v>
      </c>
      <c r="E158" s="6">
        <v>156</v>
      </c>
      <c r="F158" s="6" t="s">
        <v>186</v>
      </c>
      <c r="G158" s="16" t="s">
        <v>19</v>
      </c>
      <c r="H158" s="16" t="s">
        <v>19</v>
      </c>
      <c r="I158" s="15" t="s">
        <v>23</v>
      </c>
      <c r="J158" s="6">
        <v>279</v>
      </c>
      <c r="K158" s="6">
        <v>280.05</v>
      </c>
      <c r="L158" s="6">
        <v>270.05</v>
      </c>
      <c r="M158" s="6">
        <v>270.75</v>
      </c>
      <c r="N158" s="6">
        <v>277.75</v>
      </c>
      <c r="O158" s="6">
        <v>34222972</v>
      </c>
      <c r="P158" s="14" t="str">
        <f>HYPERLINK("https://gocharting.com/terminal?ticker=NSE:ZEEL&amp;layout=1","click here to view the chart")</f>
        <v>click here to view the chart</v>
      </c>
    </row>
    <row r="159" spans="4:16" x14ac:dyDescent="0.25">
      <c r="D159" s="6" t="s">
        <v>187</v>
      </c>
      <c r="E159" s="6">
        <v>157</v>
      </c>
      <c r="F159" s="6" t="s">
        <v>188</v>
      </c>
      <c r="G159" s="16" t="s">
        <v>15</v>
      </c>
      <c r="H159" s="15" t="s">
        <v>16</v>
      </c>
      <c r="I159" s="16" t="s">
        <v>17</v>
      </c>
      <c r="J159" s="6">
        <v>23515</v>
      </c>
      <c r="K159" s="6">
        <v>23840</v>
      </c>
      <c r="L159" s="6">
        <v>23410</v>
      </c>
      <c r="M159" s="6">
        <v>23683.599999999999</v>
      </c>
      <c r="N159" s="6">
        <v>24200</v>
      </c>
      <c r="O159" s="6">
        <v>3461</v>
      </c>
      <c r="P159" s="14" t="str">
        <f>HYPERLINK("https://gocharting.com/terminal?ticker=NSE:3MINDIA&amp;layout=1","click here to view the chart")</f>
        <v>click here to view the chart</v>
      </c>
    </row>
    <row r="160" spans="4:16" x14ac:dyDescent="0.25">
      <c r="D160" s="6" t="s">
        <v>187</v>
      </c>
      <c r="E160" s="6">
        <v>158</v>
      </c>
      <c r="F160" s="6" t="s">
        <v>189</v>
      </c>
      <c r="G160" s="16" t="s">
        <v>19</v>
      </c>
      <c r="H160" s="16" t="s">
        <v>19</v>
      </c>
      <c r="I160" s="16" t="s">
        <v>17</v>
      </c>
      <c r="J160" s="6">
        <v>2061.9</v>
      </c>
      <c r="K160" s="6">
        <v>2077.15</v>
      </c>
      <c r="L160" s="6">
        <v>2040</v>
      </c>
      <c r="M160" s="6">
        <v>2046</v>
      </c>
      <c r="N160" s="6">
        <v>2132.75</v>
      </c>
      <c r="O160" s="6">
        <v>40300</v>
      </c>
      <c r="P160" s="14" t="str">
        <f>HYPERLINK("https://gocharting.com/terminal?ticker=NSE:AAVAS&amp;layout=1","click here to view the chart")</f>
        <v>click here to view the chart</v>
      </c>
    </row>
    <row r="161" spans="4:16" x14ac:dyDescent="0.25">
      <c r="D161" s="6" t="s">
        <v>187</v>
      </c>
      <c r="E161" s="6">
        <v>159</v>
      </c>
      <c r="F161" s="6" t="s">
        <v>190</v>
      </c>
      <c r="G161" s="16" t="s">
        <v>19</v>
      </c>
      <c r="H161" s="16" t="s">
        <v>19</v>
      </c>
      <c r="I161" s="16" t="s">
        <v>17</v>
      </c>
      <c r="J161" s="6">
        <v>3230</v>
      </c>
      <c r="K161" s="6">
        <v>3273.9</v>
      </c>
      <c r="L161" s="6">
        <v>3185.6</v>
      </c>
      <c r="M161" s="6">
        <v>3211.6</v>
      </c>
      <c r="N161" s="6">
        <v>3335</v>
      </c>
      <c r="O161" s="6">
        <v>210090</v>
      </c>
      <c r="P161" s="14" t="str">
        <f>HYPERLINK("https://gocharting.com/terminal?ticker=NSE:ABB&amp;layout=1","click here to view the chart")</f>
        <v>click here to view the chart</v>
      </c>
    </row>
    <row r="162" spans="4:16" x14ac:dyDescent="0.25">
      <c r="D162" s="6" t="s">
        <v>187</v>
      </c>
      <c r="E162" s="6">
        <v>160</v>
      </c>
      <c r="F162" s="6" t="s">
        <v>191</v>
      </c>
      <c r="G162" s="16" t="s">
        <v>15</v>
      </c>
      <c r="H162" s="15" t="s">
        <v>16</v>
      </c>
      <c r="I162" s="16" t="s">
        <v>17</v>
      </c>
      <c r="J162" s="6">
        <v>111.05</v>
      </c>
      <c r="K162" s="6">
        <v>112.75</v>
      </c>
      <c r="L162" s="6">
        <v>110.4</v>
      </c>
      <c r="M162" s="6">
        <v>112.05</v>
      </c>
      <c r="N162" s="6">
        <v>112.85</v>
      </c>
      <c r="O162" s="6">
        <v>1771732</v>
      </c>
      <c r="P162" s="14" t="str">
        <f>HYPERLINK("https://gocharting.com/terminal?ticker=NSE:ABCAPITAL&amp;layout=1","click here to view the chart")</f>
        <v>click here to view the chart</v>
      </c>
    </row>
    <row r="163" spans="4:16" x14ac:dyDescent="0.25">
      <c r="D163" s="6" t="s">
        <v>187</v>
      </c>
      <c r="E163" s="6">
        <v>161</v>
      </c>
      <c r="F163" s="6" t="s">
        <v>192</v>
      </c>
      <c r="G163" s="16" t="s">
        <v>15</v>
      </c>
      <c r="H163" s="15" t="s">
        <v>16</v>
      </c>
      <c r="I163" s="16" t="s">
        <v>17</v>
      </c>
      <c r="J163" s="6">
        <v>332.7</v>
      </c>
      <c r="K163" s="6">
        <v>336.5</v>
      </c>
      <c r="L163" s="6">
        <v>328.3</v>
      </c>
      <c r="M163" s="6">
        <v>335.9</v>
      </c>
      <c r="N163" s="6">
        <v>336.95</v>
      </c>
      <c r="O163" s="6">
        <v>1265652</v>
      </c>
      <c r="P163" s="14" t="str">
        <f>HYPERLINK("https://gocharting.com/terminal?ticker=NSE:ABFRL&amp;layout=1","click here to view the chart")</f>
        <v>click here to view the chart</v>
      </c>
    </row>
    <row r="164" spans="4:16" x14ac:dyDescent="0.25">
      <c r="D164" s="6" t="s">
        <v>187</v>
      </c>
      <c r="E164" s="6">
        <v>162</v>
      </c>
      <c r="F164" s="6" t="s">
        <v>193</v>
      </c>
      <c r="G164" s="16" t="s">
        <v>19</v>
      </c>
      <c r="H164" s="16" t="s">
        <v>19</v>
      </c>
      <c r="I164" s="16" t="s">
        <v>17</v>
      </c>
      <c r="J164" s="6">
        <v>2605.8000000000002</v>
      </c>
      <c r="K164" s="6">
        <v>2627.25</v>
      </c>
      <c r="L164" s="6">
        <v>2560.6</v>
      </c>
      <c r="M164" s="6">
        <v>2603.1</v>
      </c>
      <c r="N164" s="6">
        <v>2653.4</v>
      </c>
      <c r="O164" s="6">
        <v>48414</v>
      </c>
      <c r="P164" s="14" t="str">
        <f>HYPERLINK("https://gocharting.com/terminal?ticker=NSE:AIAENG&amp;layout=1","click here to view the chart")</f>
        <v>click here to view the chart</v>
      </c>
    </row>
    <row r="165" spans="4:16" x14ac:dyDescent="0.25">
      <c r="D165" s="6" t="s">
        <v>187</v>
      </c>
      <c r="E165" s="6">
        <v>163</v>
      </c>
      <c r="F165" s="6" t="s">
        <v>194</v>
      </c>
      <c r="G165" s="16" t="s">
        <v>15</v>
      </c>
      <c r="H165" s="15" t="s">
        <v>16</v>
      </c>
      <c r="I165" s="16" t="s">
        <v>17</v>
      </c>
      <c r="J165" s="6">
        <v>1248</v>
      </c>
      <c r="K165" s="6">
        <v>1274</v>
      </c>
      <c r="L165" s="6">
        <v>1242.7</v>
      </c>
      <c r="M165" s="6">
        <v>1264.75</v>
      </c>
      <c r="N165" s="6">
        <v>1283.4000000000001</v>
      </c>
      <c r="O165" s="6">
        <v>53726</v>
      </c>
      <c r="P165" s="14" t="str">
        <f>HYPERLINK("https://gocharting.com/terminal?ticker=NSE:AJANTPHARM&amp;layout=1","click here to view the chart")</f>
        <v>click here to view the chart</v>
      </c>
    </row>
    <row r="166" spans="4:16" x14ac:dyDescent="0.25">
      <c r="D166" s="6" t="s">
        <v>187</v>
      </c>
      <c r="E166" s="6">
        <v>164</v>
      </c>
      <c r="F166" s="6" t="s">
        <v>195</v>
      </c>
      <c r="G166" s="16" t="s">
        <v>19</v>
      </c>
      <c r="H166" s="16" t="s">
        <v>19</v>
      </c>
      <c r="I166" s="16" t="s">
        <v>17</v>
      </c>
      <c r="J166" s="6">
        <v>2179</v>
      </c>
      <c r="K166" s="6">
        <v>2179</v>
      </c>
      <c r="L166" s="6">
        <v>2135.4</v>
      </c>
      <c r="M166" s="6">
        <v>2156.1</v>
      </c>
      <c r="N166" s="6">
        <v>2231.1999999999998</v>
      </c>
      <c r="O166" s="6">
        <v>5303</v>
      </c>
      <c r="P166" s="14" t="str">
        <f>HYPERLINK("https://gocharting.com/terminal?ticker=NSE:AKZOINDIA&amp;layout=1","click here to view the chart")</f>
        <v>click here to view the chart</v>
      </c>
    </row>
    <row r="167" spans="4:16" x14ac:dyDescent="0.25">
      <c r="D167" s="6" t="s">
        <v>187</v>
      </c>
      <c r="E167" s="6">
        <v>165</v>
      </c>
      <c r="F167" s="6" t="s">
        <v>196</v>
      </c>
      <c r="G167" s="16" t="s">
        <v>15</v>
      </c>
      <c r="H167" s="15" t="s">
        <v>16</v>
      </c>
      <c r="I167" s="16" t="s">
        <v>17</v>
      </c>
      <c r="J167" s="6">
        <v>2165</v>
      </c>
      <c r="K167" s="6">
        <v>2189.0500000000002</v>
      </c>
      <c r="L167" s="6">
        <v>2153.0500000000002</v>
      </c>
      <c r="M167" s="6">
        <v>2170.75</v>
      </c>
      <c r="N167" s="6">
        <v>2207.0500000000002</v>
      </c>
      <c r="O167" s="6">
        <v>303416</v>
      </c>
      <c r="P167" s="14" t="str">
        <f>HYPERLINK("https://gocharting.com/terminal?ticker=NSE:ASTRAL&amp;layout=1","click here to view the chart")</f>
        <v>click here to view the chart</v>
      </c>
    </row>
    <row r="168" spans="4:16" x14ac:dyDescent="0.25">
      <c r="D168" s="6" t="s">
        <v>187</v>
      </c>
      <c r="E168" s="6">
        <v>166</v>
      </c>
      <c r="F168" s="6" t="s">
        <v>197</v>
      </c>
      <c r="G168" s="16" t="s">
        <v>15</v>
      </c>
      <c r="H168" s="15" t="s">
        <v>16</v>
      </c>
      <c r="I168" s="16" t="s">
        <v>17</v>
      </c>
      <c r="J168" s="6">
        <v>3001.05</v>
      </c>
      <c r="K168" s="6">
        <v>3051</v>
      </c>
      <c r="L168" s="6">
        <v>2990.45</v>
      </c>
      <c r="M168" s="6">
        <v>3036.85</v>
      </c>
      <c r="N168" s="6">
        <v>3139.95</v>
      </c>
      <c r="O168" s="6">
        <v>5606</v>
      </c>
      <c r="P168" s="14" t="str">
        <f>HYPERLINK("https://gocharting.com/terminal?ticker=NSE:ASTRAZEN&amp;layout=1","click here to view the chart")</f>
        <v>click here to view the chart</v>
      </c>
    </row>
    <row r="169" spans="4:16" x14ac:dyDescent="0.25">
      <c r="D169" s="6" t="s">
        <v>187</v>
      </c>
      <c r="E169" s="6">
        <v>167</v>
      </c>
      <c r="F169" s="6" t="s">
        <v>198</v>
      </c>
      <c r="G169" s="16" t="s">
        <v>15</v>
      </c>
      <c r="H169" s="15" t="s">
        <v>16</v>
      </c>
      <c r="I169" s="16" t="s">
        <v>17</v>
      </c>
      <c r="J169" s="6">
        <v>3114.8</v>
      </c>
      <c r="K169" s="6">
        <v>3199</v>
      </c>
      <c r="L169" s="6">
        <v>3110.05</v>
      </c>
      <c r="M169" s="6">
        <v>3152.85</v>
      </c>
      <c r="N169" s="6">
        <v>3240</v>
      </c>
      <c r="O169" s="6">
        <v>295584</v>
      </c>
      <c r="P169" s="14" t="str">
        <f>HYPERLINK("https://gocharting.com/terminal?ticker=NSE:ATGL&amp;layout=1","click here to view the chart")</f>
        <v>click here to view the chart</v>
      </c>
    </row>
    <row r="170" spans="4:16" x14ac:dyDescent="0.25">
      <c r="D170" s="6" t="s">
        <v>187</v>
      </c>
      <c r="E170" s="6">
        <v>168</v>
      </c>
      <c r="F170" s="6" t="s">
        <v>200</v>
      </c>
      <c r="G170" s="16" t="s">
        <v>19</v>
      </c>
      <c r="H170" s="16" t="s">
        <v>19</v>
      </c>
      <c r="I170" s="16" t="s">
        <v>17</v>
      </c>
      <c r="J170" s="6">
        <v>8794</v>
      </c>
      <c r="K170" s="6">
        <v>8794</v>
      </c>
      <c r="L170" s="6">
        <v>8600</v>
      </c>
      <c r="M170" s="6">
        <v>8661</v>
      </c>
      <c r="N170" s="6">
        <v>8936.2999999999993</v>
      </c>
      <c r="O170" s="6">
        <v>24499</v>
      </c>
      <c r="P170" s="14" t="str">
        <f>HYPERLINK("https://gocharting.com/terminal?ticker=NSE:ATUL&amp;layout=1","click here to view the chart")</f>
        <v>click here to view the chart</v>
      </c>
    </row>
    <row r="171" spans="4:16" x14ac:dyDescent="0.25">
      <c r="D171" s="6" t="s">
        <v>187</v>
      </c>
      <c r="E171" s="6">
        <v>169</v>
      </c>
      <c r="F171" s="6" t="s">
        <v>201</v>
      </c>
      <c r="G171" s="15" t="s">
        <v>25</v>
      </c>
      <c r="H171" s="15" t="s">
        <v>16</v>
      </c>
      <c r="I171" s="15" t="s">
        <v>23</v>
      </c>
      <c r="J171" s="6">
        <v>47.2</v>
      </c>
      <c r="K171" s="6">
        <v>48.95</v>
      </c>
      <c r="L171" s="6">
        <v>47.1</v>
      </c>
      <c r="M171" s="6">
        <v>48.1</v>
      </c>
      <c r="N171" s="6">
        <v>47.8</v>
      </c>
      <c r="O171" s="6">
        <v>6650448</v>
      </c>
      <c r="P171" s="14" t="str">
        <f>HYPERLINK("https://gocharting.com/terminal?ticker=NSE:BANKINDIA&amp;layout=1","click here to view the chart")</f>
        <v>click here to view the chart</v>
      </c>
    </row>
    <row r="172" spans="4:16" x14ac:dyDescent="0.25">
      <c r="D172" s="6" t="s">
        <v>187</v>
      </c>
      <c r="E172" s="6">
        <v>170</v>
      </c>
      <c r="F172" s="6" t="s">
        <v>202</v>
      </c>
      <c r="G172" s="16" t="s">
        <v>15</v>
      </c>
      <c r="H172" s="15" t="s">
        <v>16</v>
      </c>
      <c r="I172" s="17" t="s">
        <v>20</v>
      </c>
      <c r="J172" s="6">
        <v>4649.95</v>
      </c>
      <c r="K172" s="6">
        <v>4699.05</v>
      </c>
      <c r="L172" s="6">
        <v>4619.75</v>
      </c>
      <c r="M172" s="6">
        <v>4665.6499999999996</v>
      </c>
      <c r="N172" s="6">
        <v>4750.75</v>
      </c>
      <c r="O172" s="6">
        <v>8831</v>
      </c>
      <c r="P172" s="14" t="str">
        <f>HYPERLINK("https://gocharting.com/terminal?ticker=NSE:BAYERCROP&amp;layout=1","click here to view the chart")</f>
        <v>click here to view the chart</v>
      </c>
    </row>
    <row r="173" spans="4:16" x14ac:dyDescent="0.25">
      <c r="D173" s="6" t="s">
        <v>187</v>
      </c>
      <c r="E173" s="6">
        <v>171</v>
      </c>
      <c r="F173" s="6" t="s">
        <v>203</v>
      </c>
      <c r="G173" s="16" t="s">
        <v>15</v>
      </c>
      <c r="H173" s="15" t="s">
        <v>16</v>
      </c>
      <c r="I173" s="16" t="s">
        <v>17</v>
      </c>
      <c r="J173" s="6">
        <v>895</v>
      </c>
      <c r="K173" s="6">
        <v>908.9</v>
      </c>
      <c r="L173" s="6">
        <v>895</v>
      </c>
      <c r="M173" s="6">
        <v>905.95</v>
      </c>
      <c r="N173" s="6">
        <v>933</v>
      </c>
      <c r="O173" s="6">
        <v>24545</v>
      </c>
      <c r="P173" s="14" t="str">
        <f>HYPERLINK("https://gocharting.com/terminal?ticker=NSE:BBTC&amp;layout=1","click here to view the chart")</f>
        <v>click here to view the chart</v>
      </c>
    </row>
    <row r="174" spans="4:16" x14ac:dyDescent="0.25">
      <c r="D174" s="6" t="s">
        <v>187</v>
      </c>
      <c r="E174" s="6">
        <v>172</v>
      </c>
      <c r="F174" s="6" t="s">
        <v>204</v>
      </c>
      <c r="G174" s="15" t="s">
        <v>25</v>
      </c>
      <c r="H174" s="15" t="s">
        <v>16</v>
      </c>
      <c r="I174" s="17" t="s">
        <v>20</v>
      </c>
      <c r="J174" s="6">
        <v>124.6</v>
      </c>
      <c r="K174" s="6">
        <v>126.4</v>
      </c>
      <c r="L174" s="6">
        <v>124.1</v>
      </c>
      <c r="M174" s="6">
        <v>125.55</v>
      </c>
      <c r="N174" s="6">
        <v>125.15</v>
      </c>
      <c r="O174" s="6">
        <v>2593049</v>
      </c>
      <c r="P174" s="14" t="str">
        <f>HYPERLINK("https://gocharting.com/terminal?ticker=NSE:CASTROLIND&amp;layout=1","click here to view the chart")</f>
        <v>click here to view the chart</v>
      </c>
    </row>
    <row r="175" spans="4:16" x14ac:dyDescent="0.25">
      <c r="D175" s="6" t="s">
        <v>187</v>
      </c>
      <c r="E175" s="6">
        <v>173</v>
      </c>
      <c r="F175" s="6" t="s">
        <v>205</v>
      </c>
      <c r="G175" s="16" t="s">
        <v>15</v>
      </c>
      <c r="H175" s="15" t="s">
        <v>16</v>
      </c>
      <c r="I175" s="16" t="s">
        <v>17</v>
      </c>
      <c r="J175" s="6">
        <v>78.099999999999994</v>
      </c>
      <c r="K175" s="6">
        <v>79.8</v>
      </c>
      <c r="L175" s="6">
        <v>77.75</v>
      </c>
      <c r="M175" s="6">
        <v>78.650000000000006</v>
      </c>
      <c r="N175" s="6">
        <v>80.45</v>
      </c>
      <c r="O175" s="6">
        <v>1072957</v>
      </c>
      <c r="P175" s="14" t="str">
        <f>HYPERLINK("https://gocharting.com/terminal?ticker=NSE:CESC&amp;layout=1","click here to view the chart")</f>
        <v>click here to view the chart</v>
      </c>
    </row>
    <row r="176" spans="4:16" x14ac:dyDescent="0.25">
      <c r="D176" s="6" t="s">
        <v>187</v>
      </c>
      <c r="E176" s="6">
        <v>174</v>
      </c>
      <c r="F176" s="6" t="s">
        <v>206</v>
      </c>
      <c r="G176" s="16" t="s">
        <v>15</v>
      </c>
      <c r="H176" s="15" t="s">
        <v>16</v>
      </c>
      <c r="I176" s="16" t="s">
        <v>17</v>
      </c>
      <c r="J176" s="6">
        <v>626.9</v>
      </c>
      <c r="K176" s="6">
        <v>643.45000000000005</v>
      </c>
      <c r="L176" s="6">
        <v>625.1</v>
      </c>
      <c r="M176" s="6">
        <v>638.70000000000005</v>
      </c>
      <c r="N176" s="6">
        <v>649.4</v>
      </c>
      <c r="O176" s="6">
        <v>28683</v>
      </c>
      <c r="P176" s="14" t="str">
        <f>HYPERLINK("https://gocharting.com/terminal?ticker=NSE:CHOLAHLDNG&amp;layout=1","click here to view the chart")</f>
        <v>click here to view the chart</v>
      </c>
    </row>
    <row r="177" spans="4:16" x14ac:dyDescent="0.25">
      <c r="D177" s="6" t="s">
        <v>187</v>
      </c>
      <c r="E177" s="6">
        <v>175</v>
      </c>
      <c r="F177" s="6" t="s">
        <v>207</v>
      </c>
      <c r="G177" s="16" t="s">
        <v>19</v>
      </c>
      <c r="H177" s="16" t="s">
        <v>19</v>
      </c>
      <c r="I177" s="16" t="s">
        <v>17</v>
      </c>
      <c r="J177" s="6">
        <v>963.8</v>
      </c>
      <c r="K177" s="6">
        <v>966.95</v>
      </c>
      <c r="L177" s="6">
        <v>951</v>
      </c>
      <c r="M177" s="6">
        <v>962.95</v>
      </c>
      <c r="N177" s="6">
        <v>982.8</v>
      </c>
      <c r="O177" s="6">
        <v>321219</v>
      </c>
      <c r="P177" s="14" t="str">
        <f>HYPERLINK("https://gocharting.com/terminal?ticker=NSE:COROMANDEL&amp;layout=1","click here to view the chart")</f>
        <v>click here to view the chart</v>
      </c>
    </row>
    <row r="178" spans="4:16" x14ac:dyDescent="0.25">
      <c r="D178" s="6" t="s">
        <v>187</v>
      </c>
      <c r="E178" s="6">
        <v>176</v>
      </c>
      <c r="F178" s="6" t="s">
        <v>208</v>
      </c>
      <c r="G178" s="16" t="s">
        <v>15</v>
      </c>
      <c r="H178" s="15" t="s">
        <v>16</v>
      </c>
      <c r="I178" s="17" t="s">
        <v>20</v>
      </c>
      <c r="J178" s="6">
        <v>939.4</v>
      </c>
      <c r="K178" s="6">
        <v>950</v>
      </c>
      <c r="L178" s="6">
        <v>905.2</v>
      </c>
      <c r="M178" s="6">
        <v>941.6</v>
      </c>
      <c r="N178" s="6">
        <v>1035</v>
      </c>
      <c r="O178" s="6">
        <v>163382</v>
      </c>
      <c r="P178" s="14" t="str">
        <f>HYPERLINK("https://gocharting.com/terminal?ticker=NSE:CREDITACC&amp;layout=1","click here to view the chart")</f>
        <v>click here to view the chart</v>
      </c>
    </row>
    <row r="179" spans="4:16" x14ac:dyDescent="0.25">
      <c r="D179" s="6" t="s">
        <v>187</v>
      </c>
      <c r="E179" s="6">
        <v>177</v>
      </c>
      <c r="F179" s="6" t="s">
        <v>209</v>
      </c>
      <c r="G179" s="16" t="s">
        <v>19</v>
      </c>
      <c r="H179" s="16" t="s">
        <v>19</v>
      </c>
      <c r="I179" s="15" t="s">
        <v>23</v>
      </c>
      <c r="J179" s="6">
        <v>3090.9</v>
      </c>
      <c r="K179" s="6">
        <v>3097.95</v>
      </c>
      <c r="L179" s="6">
        <v>3030</v>
      </c>
      <c r="M179" s="6">
        <v>3040.35</v>
      </c>
      <c r="N179" s="6">
        <v>3168.25</v>
      </c>
      <c r="O179" s="6">
        <v>179155</v>
      </c>
      <c r="P179" s="14" t="str">
        <f>HYPERLINK("https://gocharting.com/terminal?ticker=NSE:CRISIL&amp;layout=1","click here to view the chart")</f>
        <v>click here to view the chart</v>
      </c>
    </row>
    <row r="180" spans="4:16" x14ac:dyDescent="0.25">
      <c r="D180" s="6" t="s">
        <v>187</v>
      </c>
      <c r="E180" s="6">
        <v>178</v>
      </c>
      <c r="F180" s="6" t="s">
        <v>210</v>
      </c>
      <c r="G180" s="16" t="s">
        <v>15</v>
      </c>
      <c r="H180" s="15" t="s">
        <v>16</v>
      </c>
      <c r="I180" s="17" t="s">
        <v>20</v>
      </c>
      <c r="J180" s="6">
        <v>384.95</v>
      </c>
      <c r="K180" s="6">
        <v>390.2</v>
      </c>
      <c r="L180" s="6">
        <v>380</v>
      </c>
      <c r="M180" s="6">
        <v>387.65</v>
      </c>
      <c r="N180" s="6">
        <v>393</v>
      </c>
      <c r="O180" s="6">
        <v>1351573</v>
      </c>
      <c r="P180" s="14" t="str">
        <f>HYPERLINK("https://gocharting.com/terminal?ticker=NSE:CROMPTON&amp;layout=1","click here to view the chart")</f>
        <v>click here to view the chart</v>
      </c>
    </row>
    <row r="181" spans="4:16" x14ac:dyDescent="0.25">
      <c r="D181" s="6" t="s">
        <v>187</v>
      </c>
      <c r="E181" s="6">
        <v>179</v>
      </c>
      <c r="F181" s="6" t="s">
        <v>211</v>
      </c>
      <c r="G181" s="16" t="s">
        <v>19</v>
      </c>
      <c r="H181" s="16" t="s">
        <v>19</v>
      </c>
      <c r="I181" s="17" t="s">
        <v>20</v>
      </c>
      <c r="J181" s="6">
        <v>1513</v>
      </c>
      <c r="K181" s="6">
        <v>1532.6</v>
      </c>
      <c r="L181" s="6">
        <v>1497.9</v>
      </c>
      <c r="M181" s="6">
        <v>1510.7</v>
      </c>
      <c r="N181" s="6">
        <v>1550.2</v>
      </c>
      <c r="O181" s="6">
        <v>227633</v>
      </c>
      <c r="P181" s="14" t="str">
        <f>HYPERLINK("https://gocharting.com/terminal?ticker=NSE:DALBHARAT&amp;layout=1","click here to view the chart")</f>
        <v>click here to view the chart</v>
      </c>
    </row>
    <row r="182" spans="4:16" x14ac:dyDescent="0.25">
      <c r="D182" s="6" t="s">
        <v>187</v>
      </c>
      <c r="E182" s="6">
        <v>180</v>
      </c>
      <c r="F182" s="6" t="s">
        <v>212</v>
      </c>
      <c r="G182" s="16" t="s">
        <v>15</v>
      </c>
      <c r="H182" s="15" t="s">
        <v>16</v>
      </c>
      <c r="I182" s="16" t="s">
        <v>17</v>
      </c>
      <c r="J182" s="6">
        <v>42.95</v>
      </c>
      <c r="K182" s="6">
        <v>44.3</v>
      </c>
      <c r="L182" s="6">
        <v>42.95</v>
      </c>
      <c r="M182" s="6">
        <v>43.5</v>
      </c>
      <c r="N182" s="6">
        <v>45.95</v>
      </c>
      <c r="O182" s="6">
        <v>450268</v>
      </c>
      <c r="P182" s="14" t="str">
        <f>HYPERLINK("https://gocharting.com/terminal?ticker=NSE:DHANI&amp;layout=1","click here to view the chart")</f>
        <v>click here to view the chart</v>
      </c>
    </row>
    <row r="183" spans="4:16" x14ac:dyDescent="0.25">
      <c r="D183" s="6" t="s">
        <v>187</v>
      </c>
      <c r="E183" s="6">
        <v>181</v>
      </c>
      <c r="F183" s="6" t="s">
        <v>213</v>
      </c>
      <c r="G183" s="16" t="s">
        <v>19</v>
      </c>
      <c r="H183" s="16" t="s">
        <v>19</v>
      </c>
      <c r="I183" s="16" t="s">
        <v>17</v>
      </c>
      <c r="J183" s="6">
        <v>4309</v>
      </c>
      <c r="K183" s="6">
        <v>4321</v>
      </c>
      <c r="L183" s="6">
        <v>4252.05</v>
      </c>
      <c r="M183" s="6">
        <v>4295.8</v>
      </c>
      <c r="N183" s="6">
        <v>4350</v>
      </c>
      <c r="O183" s="6">
        <v>124099</v>
      </c>
      <c r="P183" s="14" t="str">
        <f>HYPERLINK("https://gocharting.com/terminal?ticker=NSE:DIXON&amp;layout=1","click here to view the chart")</f>
        <v>click here to view the chart</v>
      </c>
    </row>
    <row r="184" spans="4:16" x14ac:dyDescent="0.25">
      <c r="D184" s="6" t="s">
        <v>187</v>
      </c>
      <c r="E184" s="6">
        <v>182</v>
      </c>
      <c r="F184" s="6" t="s">
        <v>214</v>
      </c>
      <c r="G184" s="16" t="s">
        <v>19</v>
      </c>
      <c r="H184" s="16" t="s">
        <v>19</v>
      </c>
      <c r="I184" s="17" t="s">
        <v>20</v>
      </c>
      <c r="J184" s="6">
        <v>464.9</v>
      </c>
      <c r="K184" s="6">
        <v>472.15</v>
      </c>
      <c r="L184" s="6">
        <v>456.35</v>
      </c>
      <c r="M184" s="6">
        <v>461.8</v>
      </c>
      <c r="N184" s="6">
        <v>481.1</v>
      </c>
      <c r="O184" s="6">
        <v>286083</v>
      </c>
      <c r="P184" s="14" t="str">
        <f>HYPERLINK("https://gocharting.com/terminal?ticker=NSE:EMAMILTD&amp;layout=1","click here to view the chart")</f>
        <v>click here to view the chart</v>
      </c>
    </row>
    <row r="185" spans="4:16" x14ac:dyDescent="0.25">
      <c r="D185" s="6" t="s">
        <v>187</v>
      </c>
      <c r="E185" s="6">
        <v>183</v>
      </c>
      <c r="F185" s="6" t="s">
        <v>215</v>
      </c>
      <c r="G185" s="16" t="s">
        <v>15</v>
      </c>
      <c r="H185" s="15" t="s">
        <v>16</v>
      </c>
      <c r="I185" s="16" t="s">
        <v>17</v>
      </c>
      <c r="J185" s="6">
        <v>1357.95</v>
      </c>
      <c r="K185" s="6">
        <v>1368</v>
      </c>
      <c r="L185" s="6">
        <v>1345.65</v>
      </c>
      <c r="M185" s="6">
        <v>1361.05</v>
      </c>
      <c r="N185" s="6">
        <v>1374</v>
      </c>
      <c r="O185" s="6">
        <v>28906</v>
      </c>
      <c r="P185" s="14" t="str">
        <f>HYPERLINK("https://gocharting.com/terminal?ticker=NSE:ENDURANCE&amp;layout=1","click here to view the chart")</f>
        <v>click here to view the chart</v>
      </c>
    </row>
    <row r="186" spans="4:16" x14ac:dyDescent="0.25">
      <c r="D186" s="6" t="s">
        <v>187</v>
      </c>
      <c r="E186" s="6">
        <v>184</v>
      </c>
      <c r="F186" s="6" t="s">
        <v>216</v>
      </c>
      <c r="G186" s="16" t="s">
        <v>19</v>
      </c>
      <c r="H186" s="16" t="s">
        <v>19</v>
      </c>
      <c r="I186" s="16" t="s">
        <v>17</v>
      </c>
      <c r="J186" s="6">
        <v>273.5</v>
      </c>
      <c r="K186" s="6">
        <v>274</v>
      </c>
      <c r="L186" s="6">
        <v>270.5</v>
      </c>
      <c r="M186" s="6">
        <v>272.95</v>
      </c>
      <c r="N186" s="6">
        <v>277.89999999999998</v>
      </c>
      <c r="O186" s="6">
        <v>248415</v>
      </c>
      <c r="P186" s="14" t="str">
        <f>HYPERLINK("https://gocharting.com/terminal?ticker=NSE:FORTIS&amp;layout=1","click here to view the chart")</f>
        <v>click here to view the chart</v>
      </c>
    </row>
    <row r="187" spans="4:16" x14ac:dyDescent="0.25">
      <c r="D187" s="6" t="s">
        <v>187</v>
      </c>
      <c r="E187" s="6">
        <v>185</v>
      </c>
      <c r="F187" s="6" t="s">
        <v>217</v>
      </c>
      <c r="G187" s="16" t="s">
        <v>15</v>
      </c>
      <c r="H187" s="15" t="s">
        <v>16</v>
      </c>
      <c r="I187" s="16" t="s">
        <v>17</v>
      </c>
      <c r="J187" s="6">
        <v>123.4</v>
      </c>
      <c r="K187" s="6">
        <v>124.9</v>
      </c>
      <c r="L187" s="6">
        <v>122.7</v>
      </c>
      <c r="M187" s="6">
        <v>124.3</v>
      </c>
      <c r="N187" s="6">
        <v>124.65</v>
      </c>
      <c r="O187" s="6">
        <v>100151</v>
      </c>
      <c r="P187" s="14" t="str">
        <f>HYPERLINK("https://gocharting.com/terminal?ticker=NSE:GICRE&amp;layout=1","click here to view the chart")</f>
        <v>click here to view the chart</v>
      </c>
    </row>
    <row r="188" spans="4:16" x14ac:dyDescent="0.25">
      <c r="D188" s="6" t="s">
        <v>187</v>
      </c>
      <c r="E188" s="6">
        <v>186</v>
      </c>
      <c r="F188" s="6" t="s">
        <v>218</v>
      </c>
      <c r="G188" s="16" t="s">
        <v>15</v>
      </c>
      <c r="H188" s="15" t="s">
        <v>16</v>
      </c>
      <c r="I188" s="16" t="s">
        <v>17</v>
      </c>
      <c r="J188" s="6">
        <v>5123.95</v>
      </c>
      <c r="K188" s="6">
        <v>5138.8999999999996</v>
      </c>
      <c r="L188" s="6">
        <v>5098.6499999999996</v>
      </c>
      <c r="M188" s="6">
        <v>5124.8999999999996</v>
      </c>
      <c r="N188" s="6">
        <v>5196.2</v>
      </c>
      <c r="O188" s="6">
        <v>2080</v>
      </c>
      <c r="P188" s="14" t="str">
        <f>HYPERLINK("https://gocharting.com/terminal?ticker=NSE:GILLETTE&amp;layout=1","click here to view the chart")</f>
        <v>click here to view the chart</v>
      </c>
    </row>
    <row r="189" spans="4:16" x14ac:dyDescent="0.25">
      <c r="D189" s="6" t="s">
        <v>187</v>
      </c>
      <c r="E189" s="6">
        <v>187</v>
      </c>
      <c r="F189" s="6" t="s">
        <v>219</v>
      </c>
      <c r="G189" s="16" t="s">
        <v>19</v>
      </c>
      <c r="H189" s="16" t="s">
        <v>19</v>
      </c>
      <c r="I189" s="17" t="s">
        <v>20</v>
      </c>
      <c r="J189" s="6">
        <v>1381</v>
      </c>
      <c r="K189" s="6">
        <v>1402.25</v>
      </c>
      <c r="L189" s="6">
        <v>1371</v>
      </c>
      <c r="M189" s="6">
        <v>1377.9</v>
      </c>
      <c r="N189" s="6">
        <v>1401.95</v>
      </c>
      <c r="O189" s="6">
        <v>58034</v>
      </c>
      <c r="P189" s="14" t="str">
        <f>HYPERLINK("https://gocharting.com/terminal?ticker=NSE:GLAXO&amp;layout=1","click here to view the chart")</f>
        <v>click here to view the chart</v>
      </c>
    </row>
    <row r="190" spans="4:16" x14ac:dyDescent="0.25">
      <c r="D190" s="6" t="s">
        <v>187</v>
      </c>
      <c r="E190" s="6">
        <v>188</v>
      </c>
      <c r="F190" s="6" t="s">
        <v>220</v>
      </c>
      <c r="G190" s="16" t="s">
        <v>15</v>
      </c>
      <c r="H190" s="15" t="s">
        <v>16</v>
      </c>
      <c r="I190" s="16" t="s">
        <v>17</v>
      </c>
      <c r="J190" s="6">
        <v>512.95000000000005</v>
      </c>
      <c r="K190" s="6">
        <v>516</v>
      </c>
      <c r="L190" s="6">
        <v>511</v>
      </c>
      <c r="M190" s="6">
        <v>513.95000000000005</v>
      </c>
      <c r="N190" s="6">
        <v>528</v>
      </c>
      <c r="O190" s="6">
        <v>39809</v>
      </c>
      <c r="P190" s="14" t="str">
        <f>HYPERLINK("https://gocharting.com/terminal?ticker=NSE:GODREJAGRO&amp;layout=1","click here to view the chart")</f>
        <v>click here to view the chart</v>
      </c>
    </row>
    <row r="191" spans="4:16" x14ac:dyDescent="0.25">
      <c r="D191" s="6" t="s">
        <v>187</v>
      </c>
      <c r="E191" s="6">
        <v>189</v>
      </c>
      <c r="F191" s="6" t="s">
        <v>221</v>
      </c>
      <c r="G191" s="16" t="s">
        <v>15</v>
      </c>
      <c r="H191" s="15" t="s">
        <v>16</v>
      </c>
      <c r="I191" s="16" t="s">
        <v>17</v>
      </c>
      <c r="J191" s="6">
        <v>427.35</v>
      </c>
      <c r="K191" s="6">
        <v>432.2</v>
      </c>
      <c r="L191" s="6">
        <v>425</v>
      </c>
      <c r="M191" s="6">
        <v>430.9</v>
      </c>
      <c r="N191" s="6">
        <v>437.9</v>
      </c>
      <c r="O191" s="6">
        <v>62920</v>
      </c>
      <c r="P191" s="14" t="str">
        <f>HYPERLINK("https://gocharting.com/terminal?ticker=NSE:GODREJIND&amp;layout=1","click here to view the chart")</f>
        <v>click here to view the chart</v>
      </c>
    </row>
    <row r="192" spans="4:16" x14ac:dyDescent="0.25">
      <c r="D192" s="6" t="s">
        <v>187</v>
      </c>
      <c r="E192" s="6">
        <v>190</v>
      </c>
      <c r="F192" s="6" t="s">
        <v>222</v>
      </c>
      <c r="G192" s="16" t="s">
        <v>19</v>
      </c>
      <c r="H192" s="16" t="s">
        <v>19</v>
      </c>
      <c r="I192" s="17" t="s">
        <v>20</v>
      </c>
      <c r="J192" s="6">
        <v>222.9</v>
      </c>
      <c r="K192" s="6">
        <v>222.9</v>
      </c>
      <c r="L192" s="6">
        <v>216.5</v>
      </c>
      <c r="M192" s="6">
        <v>218.85</v>
      </c>
      <c r="N192" s="6">
        <v>224.05</v>
      </c>
      <c r="O192" s="6">
        <v>1548284</v>
      </c>
      <c r="P192" s="14" t="str">
        <f>HYPERLINK("https://gocharting.com/terminal?ticker=NSE:GSPL&amp;layout=1","click here to view the chart")</f>
        <v>click here to view the chart</v>
      </c>
    </row>
    <row r="193" spans="4:16" x14ac:dyDescent="0.25">
      <c r="D193" s="6" t="s">
        <v>187</v>
      </c>
      <c r="E193" s="6">
        <v>191</v>
      </c>
      <c r="F193" s="6" t="s">
        <v>223</v>
      </c>
      <c r="G193" s="15" t="s">
        <v>22</v>
      </c>
      <c r="H193" s="15" t="s">
        <v>16</v>
      </c>
      <c r="I193" s="17" t="s">
        <v>20</v>
      </c>
      <c r="J193" s="6">
        <v>2376.1999999999998</v>
      </c>
      <c r="K193" s="6">
        <v>2487.9499999999998</v>
      </c>
      <c r="L193" s="6">
        <v>2360</v>
      </c>
      <c r="M193" s="6">
        <v>2477.9499999999998</v>
      </c>
      <c r="N193" s="6">
        <v>2405.75</v>
      </c>
      <c r="O193" s="6">
        <v>1549498</v>
      </c>
      <c r="P193" s="14" t="str">
        <f>HYPERLINK("https://gocharting.com/terminal?ticker=NSE:HAL&amp;layout=1","click here to view the chart")</f>
        <v>click here to view the chart</v>
      </c>
    </row>
    <row r="194" spans="4:16" x14ac:dyDescent="0.25">
      <c r="D194" s="6" t="s">
        <v>187</v>
      </c>
      <c r="E194" s="6">
        <v>192</v>
      </c>
      <c r="F194" s="6" t="s">
        <v>224</v>
      </c>
      <c r="G194" s="16" t="s">
        <v>19</v>
      </c>
      <c r="H194" s="16" t="s">
        <v>19</v>
      </c>
      <c r="I194" s="17" t="s">
        <v>20</v>
      </c>
      <c r="J194" s="6">
        <v>1018</v>
      </c>
      <c r="K194" s="6">
        <v>1022</v>
      </c>
      <c r="L194" s="6">
        <v>992.5</v>
      </c>
      <c r="M194" s="6">
        <v>1000</v>
      </c>
      <c r="N194" s="6">
        <v>1031.95</v>
      </c>
      <c r="O194" s="6">
        <v>37062</v>
      </c>
      <c r="P194" s="14" t="str">
        <f>HYPERLINK("https://gocharting.com/terminal?ticker=NSE:HATSUN&amp;layout=1","click here to view the chart")</f>
        <v>click here to view the chart</v>
      </c>
    </row>
    <row r="195" spans="4:16" x14ac:dyDescent="0.25">
      <c r="D195" s="6" t="s">
        <v>187</v>
      </c>
      <c r="E195" s="6">
        <v>193</v>
      </c>
      <c r="F195" s="6" t="s">
        <v>225</v>
      </c>
      <c r="G195" s="16" t="s">
        <v>15</v>
      </c>
      <c r="H195" s="15" t="s">
        <v>16</v>
      </c>
      <c r="I195" s="16" t="s">
        <v>17</v>
      </c>
      <c r="J195" s="6">
        <v>277.89999999999998</v>
      </c>
      <c r="K195" s="6">
        <v>281</v>
      </c>
      <c r="L195" s="6">
        <v>277.85000000000002</v>
      </c>
      <c r="M195" s="6">
        <v>280.55</v>
      </c>
      <c r="N195" s="6">
        <v>292.75</v>
      </c>
      <c r="O195" s="6">
        <v>305689</v>
      </c>
      <c r="P195" s="14" t="str">
        <f>HYPERLINK("https://gocharting.com/terminal?ticker=NSE:HINDZINC&amp;layout=1","click here to view the chart")</f>
        <v>click here to view the chart</v>
      </c>
    </row>
    <row r="196" spans="4:16" x14ac:dyDescent="0.25">
      <c r="D196" s="6" t="s">
        <v>187</v>
      </c>
      <c r="E196" s="6">
        <v>194</v>
      </c>
      <c r="F196" s="6" t="s">
        <v>226</v>
      </c>
      <c r="G196" s="15" t="s">
        <v>22</v>
      </c>
      <c r="H196" s="15" t="s">
        <v>16</v>
      </c>
      <c r="I196" s="17" t="s">
        <v>20</v>
      </c>
      <c r="J196" s="6">
        <v>38446</v>
      </c>
      <c r="K196" s="6">
        <v>40099.949999999997</v>
      </c>
      <c r="L196" s="6">
        <v>38446</v>
      </c>
      <c r="M196" s="6">
        <v>39872.15</v>
      </c>
      <c r="N196" s="6">
        <v>39096.85</v>
      </c>
      <c r="O196" s="6">
        <v>4609</v>
      </c>
      <c r="P196" s="14" t="str">
        <f>HYPERLINK("https://gocharting.com/terminal?ticker=NSE:HONAUT&amp;layout=1","click here to view the chart")</f>
        <v>click here to view the chart</v>
      </c>
    </row>
    <row r="197" spans="4:16" x14ac:dyDescent="0.25">
      <c r="D197" s="6" t="s">
        <v>187</v>
      </c>
      <c r="E197" s="6">
        <v>195</v>
      </c>
      <c r="F197" s="6" t="s">
        <v>227</v>
      </c>
      <c r="G197" s="16" t="s">
        <v>15</v>
      </c>
      <c r="H197" s="15" t="s">
        <v>16</v>
      </c>
      <c r="I197" s="16" t="s">
        <v>17</v>
      </c>
      <c r="J197" s="6">
        <v>43.2</v>
      </c>
      <c r="K197" s="6">
        <v>43.95</v>
      </c>
      <c r="L197" s="6">
        <v>42.95</v>
      </c>
      <c r="M197" s="6">
        <v>43.4</v>
      </c>
      <c r="N197" s="6">
        <v>44.9</v>
      </c>
      <c r="O197" s="6">
        <v>4924119</v>
      </c>
      <c r="P197" s="14" t="str">
        <f>HYPERLINK("https://gocharting.com/terminal?ticker=NSE:IDBI&amp;layout=1","click here to view the chart")</f>
        <v>click here to view the chart</v>
      </c>
    </row>
    <row r="198" spans="4:16" x14ac:dyDescent="0.25">
      <c r="D198" s="6" t="s">
        <v>187</v>
      </c>
      <c r="E198" s="6">
        <v>196</v>
      </c>
      <c r="F198" s="6" t="s">
        <v>228</v>
      </c>
      <c r="G198" s="16" t="s">
        <v>15</v>
      </c>
      <c r="H198" s="15" t="s">
        <v>16</v>
      </c>
      <c r="I198" s="17" t="s">
        <v>20</v>
      </c>
      <c r="J198" s="6">
        <v>1882.65</v>
      </c>
      <c r="K198" s="6">
        <v>1900</v>
      </c>
      <c r="L198" s="6">
        <v>1856.35</v>
      </c>
      <c r="M198" s="6">
        <v>1884.35</v>
      </c>
      <c r="N198" s="6">
        <v>1895.95</v>
      </c>
      <c r="O198" s="6">
        <v>49732</v>
      </c>
      <c r="P198" s="14" t="str">
        <f>HYPERLINK("https://gocharting.com/terminal?ticker=NSE:IIFLWAM&amp;layout=1","click here to view the chart")</f>
        <v>click here to view the chart</v>
      </c>
    </row>
    <row r="199" spans="4:16" x14ac:dyDescent="0.25">
      <c r="D199" s="6" t="s">
        <v>187</v>
      </c>
      <c r="E199" s="6">
        <v>197</v>
      </c>
      <c r="F199" s="6" t="s">
        <v>229</v>
      </c>
      <c r="G199" s="16" t="s">
        <v>15</v>
      </c>
      <c r="H199" s="15" t="s">
        <v>16</v>
      </c>
      <c r="I199" s="16" t="s">
        <v>17</v>
      </c>
      <c r="J199" s="6">
        <v>320.2</v>
      </c>
      <c r="K199" s="6">
        <v>326.75</v>
      </c>
      <c r="L199" s="6">
        <v>316.39999999999998</v>
      </c>
      <c r="M199" s="6">
        <v>323.39999999999998</v>
      </c>
      <c r="N199" s="6">
        <v>333.2</v>
      </c>
      <c r="O199" s="6">
        <v>6590218</v>
      </c>
      <c r="P199" s="14" t="str">
        <f>HYPERLINK("https://gocharting.com/terminal?ticker=NSE:INDHOTEL&amp;layout=1","click here to view the chart")</f>
        <v>click here to view the chart</v>
      </c>
    </row>
    <row r="200" spans="4:16" x14ac:dyDescent="0.25">
      <c r="D200" s="6" t="s">
        <v>187</v>
      </c>
      <c r="E200" s="6">
        <v>198</v>
      </c>
      <c r="F200" s="6" t="s">
        <v>230</v>
      </c>
      <c r="G200" s="16" t="s">
        <v>15</v>
      </c>
      <c r="H200" s="15" t="s">
        <v>16</v>
      </c>
      <c r="I200" s="15" t="s">
        <v>23</v>
      </c>
      <c r="J200" s="6">
        <v>4394.8999999999996</v>
      </c>
      <c r="K200" s="6">
        <v>4625.05</v>
      </c>
      <c r="L200" s="6">
        <v>4391.8500000000004</v>
      </c>
      <c r="M200" s="6">
        <v>4508.8999999999996</v>
      </c>
      <c r="N200" s="6">
        <v>4559.95</v>
      </c>
      <c r="O200" s="6">
        <v>310319</v>
      </c>
      <c r="P200" s="14" t="str">
        <f>HYPERLINK("https://gocharting.com/terminal?ticker=NSE:INDIAMART&amp;layout=1","click here to view the chart")</f>
        <v>click here to view the chart</v>
      </c>
    </row>
    <row r="201" spans="4:16" x14ac:dyDescent="0.25">
      <c r="D201" s="6" t="s">
        <v>187</v>
      </c>
      <c r="E201" s="6">
        <v>199</v>
      </c>
      <c r="F201" s="6" t="s">
        <v>231</v>
      </c>
      <c r="G201" s="16" t="s">
        <v>15</v>
      </c>
      <c r="H201" s="15" t="s">
        <v>16</v>
      </c>
      <c r="I201" s="17" t="s">
        <v>20</v>
      </c>
      <c r="J201" s="6">
        <v>897.5</v>
      </c>
      <c r="K201" s="6">
        <v>900.35</v>
      </c>
      <c r="L201" s="6">
        <v>891.65</v>
      </c>
      <c r="M201" s="6">
        <v>897.85</v>
      </c>
      <c r="N201" s="6">
        <v>903.25</v>
      </c>
      <c r="O201" s="6">
        <v>209411</v>
      </c>
      <c r="P201" s="14" t="str">
        <f>HYPERLINK("https://gocharting.com/terminal?ticker=NSE:IPCALAB&amp;layout=1","click here to view the chart")</f>
        <v>click here to view the chart</v>
      </c>
    </row>
    <row r="202" spans="4:16" x14ac:dyDescent="0.25">
      <c r="D202" s="6" t="s">
        <v>187</v>
      </c>
      <c r="E202" s="6">
        <v>200</v>
      </c>
      <c r="F202" s="6" t="s">
        <v>232</v>
      </c>
      <c r="G202" s="16" t="s">
        <v>15</v>
      </c>
      <c r="H202" s="15" t="s">
        <v>16</v>
      </c>
      <c r="I202" s="16" t="s">
        <v>17</v>
      </c>
      <c r="J202" s="6">
        <v>520.6</v>
      </c>
      <c r="K202" s="6">
        <v>525.95000000000005</v>
      </c>
      <c r="L202" s="6">
        <v>517.04999999999995</v>
      </c>
      <c r="M202" s="6">
        <v>522.35</v>
      </c>
      <c r="N202" s="6">
        <v>523.5</v>
      </c>
      <c r="O202" s="6">
        <v>147065</v>
      </c>
      <c r="P202" s="14" t="str">
        <f>HYPERLINK("https://gocharting.com/terminal?ticker=NSE:ISEC&amp;layout=1","click here to view the chart")</f>
        <v>click here to view the chart</v>
      </c>
    </row>
    <row r="203" spans="4:16" x14ac:dyDescent="0.25">
      <c r="D203" s="6" t="s">
        <v>187</v>
      </c>
      <c r="E203" s="6">
        <v>201</v>
      </c>
      <c r="F203" s="6" t="s">
        <v>233</v>
      </c>
      <c r="G203" s="16" t="s">
        <v>15</v>
      </c>
      <c r="H203" s="15" t="s">
        <v>16</v>
      </c>
      <c r="I203" s="16" t="s">
        <v>17</v>
      </c>
      <c r="J203" s="6">
        <v>102.1</v>
      </c>
      <c r="K203" s="6">
        <v>103.6</v>
      </c>
      <c r="L203" s="6">
        <v>101</v>
      </c>
      <c r="M203" s="6">
        <v>102.25</v>
      </c>
      <c r="N203" s="6">
        <v>106.55</v>
      </c>
      <c r="O203" s="6">
        <v>237531</v>
      </c>
      <c r="P203" s="14" t="str">
        <f>HYPERLINK("https://gocharting.com/terminal?ticker=NSE:ITI&amp;layout=1","click here to view the chart")</f>
        <v>click here to view the chart</v>
      </c>
    </row>
    <row r="204" spans="4:16" x14ac:dyDescent="0.25">
      <c r="D204" s="6" t="s">
        <v>187</v>
      </c>
      <c r="E204" s="6">
        <v>202</v>
      </c>
      <c r="F204" s="6" t="s">
        <v>234</v>
      </c>
      <c r="G204" s="16" t="s">
        <v>15</v>
      </c>
      <c r="H204" s="15" t="s">
        <v>16</v>
      </c>
      <c r="I204" s="17" t="s">
        <v>20</v>
      </c>
      <c r="J204" s="6">
        <v>2504.4</v>
      </c>
      <c r="K204" s="6">
        <v>2588</v>
      </c>
      <c r="L204" s="6">
        <v>2504.4</v>
      </c>
      <c r="M204" s="6">
        <v>2538.9</v>
      </c>
      <c r="N204" s="6">
        <v>2547.8000000000002</v>
      </c>
      <c r="O204" s="6">
        <v>114835</v>
      </c>
      <c r="P204" s="14" t="str">
        <f>HYPERLINK("https://gocharting.com/terminal?ticker=NSE:JKCEMENT&amp;layout=1","click here to view the chart")</f>
        <v>click here to view the chart</v>
      </c>
    </row>
    <row r="205" spans="4:16" x14ac:dyDescent="0.25">
      <c r="D205" s="6" t="s">
        <v>187</v>
      </c>
      <c r="E205" s="6">
        <v>203</v>
      </c>
      <c r="F205" s="6" t="s">
        <v>235</v>
      </c>
      <c r="G205" s="16" t="s">
        <v>19</v>
      </c>
      <c r="H205" s="16" t="s">
        <v>19</v>
      </c>
      <c r="I205" s="16" t="s">
        <v>17</v>
      </c>
      <c r="J205" s="6">
        <v>69.2</v>
      </c>
      <c r="K205" s="6">
        <v>69.95</v>
      </c>
      <c r="L205" s="6">
        <v>68</v>
      </c>
      <c r="M205" s="6">
        <v>68.45</v>
      </c>
      <c r="N205" s="6">
        <v>69.650000000000006</v>
      </c>
      <c r="O205" s="6">
        <v>657331</v>
      </c>
      <c r="P205" s="14" t="str">
        <f>HYPERLINK("https://gocharting.com/terminal?ticker=NSE:JMFINANCIL&amp;layout=1","click here to view the chart")</f>
        <v>click here to view the chart</v>
      </c>
    </row>
    <row r="206" spans="4:16" x14ac:dyDescent="0.25">
      <c r="D206" s="6" t="s">
        <v>187</v>
      </c>
      <c r="E206" s="6">
        <v>204</v>
      </c>
      <c r="F206" s="6" t="s">
        <v>236</v>
      </c>
      <c r="G206" s="16" t="s">
        <v>19</v>
      </c>
      <c r="H206" s="16" t="s">
        <v>19</v>
      </c>
      <c r="I206" s="16" t="s">
        <v>17</v>
      </c>
      <c r="J206" s="6">
        <v>326.8</v>
      </c>
      <c r="K206" s="6">
        <v>328.2</v>
      </c>
      <c r="L206" s="6">
        <v>320.25</v>
      </c>
      <c r="M206" s="6">
        <v>322.05</v>
      </c>
      <c r="N206" s="6">
        <v>332</v>
      </c>
      <c r="O206" s="6">
        <v>1121641</v>
      </c>
      <c r="P206" s="14" t="str">
        <f>HYPERLINK("https://gocharting.com/terminal?ticker=NSE:JSWENERGY&amp;layout=1","click here to view the chart")</f>
        <v>click here to view the chart</v>
      </c>
    </row>
    <row r="207" spans="4:16" x14ac:dyDescent="0.25">
      <c r="D207" s="6" t="s">
        <v>187</v>
      </c>
      <c r="E207" s="6">
        <v>205</v>
      </c>
      <c r="F207" s="6" t="s">
        <v>237</v>
      </c>
      <c r="G207" s="16" t="s">
        <v>15</v>
      </c>
      <c r="H207" s="15" t="s">
        <v>16</v>
      </c>
      <c r="I207" s="16" t="s">
        <v>17</v>
      </c>
      <c r="J207" s="6">
        <v>483</v>
      </c>
      <c r="K207" s="6">
        <v>488.2</v>
      </c>
      <c r="L207" s="6">
        <v>478.5</v>
      </c>
      <c r="M207" s="6">
        <v>485.2</v>
      </c>
      <c r="N207" s="6">
        <v>492.4</v>
      </c>
      <c r="O207" s="6">
        <v>79907</v>
      </c>
      <c r="P207" s="14" t="str">
        <f>HYPERLINK("https://gocharting.com/terminal?ticker=NSE:KANSAINER&amp;layout=1","click here to view the chart")</f>
        <v>click here to view the chart</v>
      </c>
    </row>
    <row r="208" spans="4:16" x14ac:dyDescent="0.25">
      <c r="D208" s="6" t="s">
        <v>187</v>
      </c>
      <c r="E208" s="6">
        <v>206</v>
      </c>
      <c r="F208" s="6" t="s">
        <v>238</v>
      </c>
      <c r="G208" s="16" t="s">
        <v>19</v>
      </c>
      <c r="H208" s="16" t="s">
        <v>19</v>
      </c>
      <c r="I208" s="16" t="s">
        <v>17</v>
      </c>
      <c r="J208" s="6">
        <v>515</v>
      </c>
      <c r="K208" s="6">
        <v>518</v>
      </c>
      <c r="L208" s="6">
        <v>507</v>
      </c>
      <c r="M208" s="6">
        <v>510.7</v>
      </c>
      <c r="N208" s="6">
        <v>524.25</v>
      </c>
      <c r="O208" s="6">
        <v>627200</v>
      </c>
      <c r="P208" s="14" t="str">
        <f>HYPERLINK("https://gocharting.com/terminal?ticker=NSE:LAURUSLABS&amp;layout=1","click here to view the chart")</f>
        <v>click here to view the chart</v>
      </c>
    </row>
    <row r="209" spans="4:16" x14ac:dyDescent="0.25">
      <c r="D209" s="6" t="s">
        <v>187</v>
      </c>
      <c r="E209" s="6">
        <v>207</v>
      </c>
      <c r="F209" s="6" t="s">
        <v>239</v>
      </c>
      <c r="G209" s="16" t="s">
        <v>19</v>
      </c>
      <c r="H209" s="16" t="s">
        <v>19</v>
      </c>
      <c r="I209" s="16" t="s">
        <v>17</v>
      </c>
      <c r="J209" s="6">
        <v>424.35</v>
      </c>
      <c r="K209" s="6">
        <v>424.35</v>
      </c>
      <c r="L209" s="6">
        <v>404.2</v>
      </c>
      <c r="M209" s="6">
        <v>407.45</v>
      </c>
      <c r="N209" s="6">
        <v>436.8</v>
      </c>
      <c r="O209" s="6">
        <v>1679325</v>
      </c>
      <c r="P209" s="14" t="str">
        <f>HYPERLINK("https://gocharting.com/terminal?ticker=NSE:MAXHEALTH&amp;layout=1","click here to view the chart")</f>
        <v>click here to view the chart</v>
      </c>
    </row>
    <row r="210" spans="4:16" x14ac:dyDescent="0.25">
      <c r="D210" s="6" t="s">
        <v>187</v>
      </c>
      <c r="E210" s="6">
        <v>208</v>
      </c>
      <c r="F210" s="6" t="s">
        <v>240</v>
      </c>
      <c r="G210" s="16" t="s">
        <v>19</v>
      </c>
      <c r="H210" s="16" t="s">
        <v>19</v>
      </c>
      <c r="I210" s="16" t="s">
        <v>17</v>
      </c>
      <c r="J210" s="6">
        <v>1570</v>
      </c>
      <c r="K210" s="6">
        <v>1577.6</v>
      </c>
      <c r="L210" s="6">
        <v>1536</v>
      </c>
      <c r="M210" s="6">
        <v>1543.9</v>
      </c>
      <c r="N210" s="6">
        <v>1599</v>
      </c>
      <c r="O210" s="6">
        <v>126003</v>
      </c>
      <c r="P210" s="14" t="str">
        <f>HYPERLINK("https://gocharting.com/terminal?ticker=NSE:METROPOLIS&amp;layout=1","click here to view the chart")</f>
        <v>click here to view the chart</v>
      </c>
    </row>
    <row r="211" spans="4:16" x14ac:dyDescent="0.25">
      <c r="D211" s="6" t="s">
        <v>187</v>
      </c>
      <c r="E211" s="6">
        <v>209</v>
      </c>
      <c r="F211" s="6" t="s">
        <v>241</v>
      </c>
      <c r="G211" s="16" t="s">
        <v>199</v>
      </c>
      <c r="H211" s="15" t="s">
        <v>16</v>
      </c>
      <c r="I211" s="15" t="s">
        <v>23</v>
      </c>
      <c r="J211" s="6">
        <v>972.45</v>
      </c>
      <c r="K211" s="6">
        <v>1012</v>
      </c>
      <c r="L211" s="6">
        <v>953.35</v>
      </c>
      <c r="M211" s="6">
        <v>996.15</v>
      </c>
      <c r="N211" s="6">
        <v>1182.5</v>
      </c>
      <c r="O211" s="6">
        <v>871083</v>
      </c>
      <c r="P211" s="14" t="str">
        <f>HYPERLINK("https://gocharting.com/terminal?ticker=NSE:MINDAIND&amp;layout=1","click here to view the chart")</f>
        <v>click here to view the chart</v>
      </c>
    </row>
    <row r="212" spans="4:16" x14ac:dyDescent="0.25">
      <c r="D212" s="6" t="s">
        <v>187</v>
      </c>
      <c r="E212" s="6">
        <v>210</v>
      </c>
      <c r="F212" s="6" t="s">
        <v>242</v>
      </c>
      <c r="G212" s="16" t="s">
        <v>19</v>
      </c>
      <c r="H212" s="16" t="s">
        <v>19</v>
      </c>
      <c r="I212" s="16" t="s">
        <v>17</v>
      </c>
      <c r="J212" s="6">
        <v>712</v>
      </c>
      <c r="K212" s="6">
        <v>714.35</v>
      </c>
      <c r="L212" s="6">
        <v>696.25</v>
      </c>
      <c r="M212" s="6">
        <v>702</v>
      </c>
      <c r="N212" s="6">
        <v>732.45</v>
      </c>
      <c r="O212" s="6">
        <v>88982</v>
      </c>
      <c r="P212" s="14" t="str">
        <f>HYPERLINK("https://gocharting.com/terminal?ticker=NSE:MOTILALOFS&amp;layout=1","click here to view the chart")</f>
        <v>click here to view the chart</v>
      </c>
    </row>
    <row r="213" spans="4:16" x14ac:dyDescent="0.25">
      <c r="D213" s="6" t="s">
        <v>187</v>
      </c>
      <c r="E213" s="6">
        <v>211</v>
      </c>
      <c r="F213" s="6" t="s">
        <v>243</v>
      </c>
      <c r="G213" s="16" t="s">
        <v>19</v>
      </c>
      <c r="H213" s="16" t="s">
        <v>19</v>
      </c>
      <c r="I213" s="17" t="s">
        <v>20</v>
      </c>
      <c r="J213" s="6">
        <v>599.75</v>
      </c>
      <c r="K213" s="6">
        <v>602.5</v>
      </c>
      <c r="L213" s="6">
        <v>586.54999999999995</v>
      </c>
      <c r="M213" s="6">
        <v>590.25</v>
      </c>
      <c r="N213" s="6">
        <v>604.5</v>
      </c>
      <c r="O213" s="6">
        <v>315809</v>
      </c>
      <c r="P213" s="14" t="str">
        <f>HYPERLINK("https://gocharting.com/terminal?ticker=NSE:NATCOPHARM&amp;layout=1","click here to view the chart")</f>
        <v>click here to view the chart</v>
      </c>
    </row>
    <row r="214" spans="4:16" x14ac:dyDescent="0.25">
      <c r="D214" s="6" t="s">
        <v>187</v>
      </c>
      <c r="E214" s="6">
        <v>212</v>
      </c>
      <c r="F214" s="6" t="s">
        <v>244</v>
      </c>
      <c r="G214" s="15" t="s">
        <v>25</v>
      </c>
      <c r="H214" s="15" t="s">
        <v>16</v>
      </c>
      <c r="I214" s="15" t="s">
        <v>23</v>
      </c>
      <c r="J214" s="6">
        <v>39.700000000000003</v>
      </c>
      <c r="K214" s="6">
        <v>42.7</v>
      </c>
      <c r="L214" s="6">
        <v>38.9</v>
      </c>
      <c r="M214" s="6">
        <v>41.95</v>
      </c>
      <c r="N214" s="6">
        <v>39.549999999999997</v>
      </c>
      <c r="O214" s="6">
        <v>44951547</v>
      </c>
      <c r="P214" s="14" t="str">
        <f>HYPERLINK("https://gocharting.com/terminal?ticker=NSE:NHPC&amp;layout=1","click here to view the chart")</f>
        <v>click here to view the chart</v>
      </c>
    </row>
    <row r="215" spans="4:16" x14ac:dyDescent="0.25">
      <c r="D215" s="6" t="s">
        <v>187</v>
      </c>
      <c r="E215" s="6">
        <v>213</v>
      </c>
      <c r="F215" s="6" t="s">
        <v>245</v>
      </c>
      <c r="G215" s="16" t="s">
        <v>15</v>
      </c>
      <c r="H215" s="15" t="s">
        <v>16</v>
      </c>
      <c r="I215" s="16" t="s">
        <v>17</v>
      </c>
      <c r="J215" s="6">
        <v>85.9</v>
      </c>
      <c r="K215" s="6">
        <v>86.4</v>
      </c>
      <c r="L215" s="6">
        <v>85.75</v>
      </c>
      <c r="M215" s="6">
        <v>86.2</v>
      </c>
      <c r="N215" s="6">
        <v>87.75</v>
      </c>
      <c r="O215" s="6">
        <v>99314</v>
      </c>
      <c r="P215" s="14" t="str">
        <f>HYPERLINK("https://gocharting.com/terminal?ticker=NSE:NIACL&amp;layout=1","click here to view the chart")</f>
        <v>click here to view the chart</v>
      </c>
    </row>
    <row r="216" spans="4:16" x14ac:dyDescent="0.25">
      <c r="D216" s="6" t="s">
        <v>187</v>
      </c>
      <c r="E216" s="6">
        <v>214</v>
      </c>
      <c r="F216" s="6" t="s">
        <v>246</v>
      </c>
      <c r="G216" s="16" t="s">
        <v>19</v>
      </c>
      <c r="H216" s="16" t="s">
        <v>19</v>
      </c>
      <c r="I216" s="17" t="s">
        <v>20</v>
      </c>
      <c r="J216" s="6">
        <v>870</v>
      </c>
      <c r="K216" s="6">
        <v>877</v>
      </c>
      <c r="L216" s="6">
        <v>850</v>
      </c>
      <c r="M216" s="6">
        <v>863.8</v>
      </c>
      <c r="N216" s="6">
        <v>928.9</v>
      </c>
      <c r="O216" s="6">
        <v>1207767</v>
      </c>
      <c r="P216" s="14" t="str">
        <f>HYPERLINK("https://gocharting.com/terminal?ticker=NSE:OBEROIRLTY&amp;layout=1","click here to view the chart")</f>
        <v>click here to view the chart</v>
      </c>
    </row>
    <row r="217" spans="4:16" x14ac:dyDescent="0.25">
      <c r="D217" s="6" t="s">
        <v>187</v>
      </c>
      <c r="E217" s="6">
        <v>215</v>
      </c>
      <c r="F217" s="6" t="s">
        <v>247</v>
      </c>
      <c r="G217" s="16" t="s">
        <v>19</v>
      </c>
      <c r="H217" s="16" t="s">
        <v>19</v>
      </c>
      <c r="I217" s="17" t="s">
        <v>20</v>
      </c>
      <c r="J217" s="6">
        <v>2955</v>
      </c>
      <c r="K217" s="6">
        <v>2978.75</v>
      </c>
      <c r="L217" s="6">
        <v>2940.25</v>
      </c>
      <c r="M217" s="6">
        <v>2949.2</v>
      </c>
      <c r="N217" s="6">
        <v>2985</v>
      </c>
      <c r="O217" s="6">
        <v>98240</v>
      </c>
      <c r="P217" s="14" t="str">
        <f>HYPERLINK("https://gocharting.com/terminal?ticker=NSE:OFSS&amp;layout=1","click here to view the chart")</f>
        <v>click here to view the chart</v>
      </c>
    </row>
    <row r="218" spans="4:16" x14ac:dyDescent="0.25">
      <c r="D218" s="6" t="s">
        <v>187</v>
      </c>
      <c r="E218" s="6">
        <v>216</v>
      </c>
      <c r="F218" s="6" t="s">
        <v>248</v>
      </c>
      <c r="G218" s="16" t="s">
        <v>15</v>
      </c>
      <c r="H218" s="15" t="s">
        <v>16</v>
      </c>
      <c r="I218" s="16" t="s">
        <v>17</v>
      </c>
      <c r="J218" s="6">
        <v>184.5</v>
      </c>
      <c r="K218" s="6">
        <v>189.85</v>
      </c>
      <c r="L218" s="6">
        <v>184.5</v>
      </c>
      <c r="M218" s="6">
        <v>189.35</v>
      </c>
      <c r="N218" s="6">
        <v>191</v>
      </c>
      <c r="O218" s="6">
        <v>1405188</v>
      </c>
      <c r="P218" s="14" t="str">
        <f>HYPERLINK("https://gocharting.com/terminal?ticker=NSE:OIL&amp;layout=1","click here to view the chart")</f>
        <v>click here to view the chart</v>
      </c>
    </row>
    <row r="219" spans="4:16" x14ac:dyDescent="0.25">
      <c r="D219" s="6" t="s">
        <v>187</v>
      </c>
      <c r="E219" s="6">
        <v>217</v>
      </c>
      <c r="F219" s="6" t="s">
        <v>249</v>
      </c>
      <c r="G219" s="15" t="s">
        <v>25</v>
      </c>
      <c r="H219" s="15" t="s">
        <v>16</v>
      </c>
      <c r="I219" s="16" t="s">
        <v>17</v>
      </c>
      <c r="J219" s="6">
        <v>3668</v>
      </c>
      <c r="K219" s="6">
        <v>3723</v>
      </c>
      <c r="L219" s="6">
        <v>3640</v>
      </c>
      <c r="M219" s="6">
        <v>3689.9</v>
      </c>
      <c r="N219" s="6">
        <v>3684</v>
      </c>
      <c r="O219" s="6">
        <v>315877</v>
      </c>
      <c r="P219" s="14" t="str">
        <f>HYPERLINK("https://gocharting.com/terminal?ticker=NSE:PERSISTENT&amp;layout=1","click here to view the chart")</f>
        <v>click here to view the chart</v>
      </c>
    </row>
    <row r="220" spans="4:16" x14ac:dyDescent="0.25">
      <c r="D220" s="6" t="s">
        <v>187</v>
      </c>
      <c r="E220" s="6">
        <v>218</v>
      </c>
      <c r="F220" s="6" t="s">
        <v>250</v>
      </c>
      <c r="G220" s="16" t="s">
        <v>19</v>
      </c>
      <c r="H220" s="16" t="s">
        <v>19</v>
      </c>
      <c r="I220" s="16" t="s">
        <v>17</v>
      </c>
      <c r="J220" s="6">
        <v>4148.3999999999996</v>
      </c>
      <c r="K220" s="6">
        <v>4191</v>
      </c>
      <c r="L220" s="6">
        <v>4080.8</v>
      </c>
      <c r="M220" s="6">
        <v>4100.05</v>
      </c>
      <c r="N220" s="6">
        <v>4239.3</v>
      </c>
      <c r="O220" s="6">
        <v>4416</v>
      </c>
      <c r="P220" s="14" t="str">
        <f>HYPERLINK("https://gocharting.com/terminal?ticker=NSE:PGHL&amp;layout=1","click here to view the chart")</f>
        <v>click here to view the chart</v>
      </c>
    </row>
    <row r="221" spans="4:16" x14ac:dyDescent="0.25">
      <c r="D221" s="6" t="s">
        <v>187</v>
      </c>
      <c r="E221" s="6">
        <v>219</v>
      </c>
      <c r="F221" s="6" t="s">
        <v>251</v>
      </c>
      <c r="G221" s="15" t="s">
        <v>22</v>
      </c>
      <c r="H221" s="15" t="s">
        <v>16</v>
      </c>
      <c r="I221" s="16" t="s">
        <v>17</v>
      </c>
      <c r="J221" s="6">
        <v>1355.7</v>
      </c>
      <c r="K221" s="6">
        <v>1440</v>
      </c>
      <c r="L221" s="6">
        <v>1345.1</v>
      </c>
      <c r="M221" s="6">
        <v>1423.45</v>
      </c>
      <c r="N221" s="6">
        <v>1409.5</v>
      </c>
      <c r="O221" s="6">
        <v>157098</v>
      </c>
      <c r="P221" s="14" t="str">
        <f>HYPERLINK("https://gocharting.com/terminal?ticker=NSE:PHOENIXLTD&amp;layout=1","click here to view the chart")</f>
        <v>click here to view the chart</v>
      </c>
    </row>
    <row r="222" spans="4:16" x14ac:dyDescent="0.25">
      <c r="D222" s="6" t="s">
        <v>187</v>
      </c>
      <c r="E222" s="6">
        <v>220</v>
      </c>
      <c r="F222" s="6" t="s">
        <v>252</v>
      </c>
      <c r="G222" s="15" t="s">
        <v>22</v>
      </c>
      <c r="H222" s="15" t="s">
        <v>16</v>
      </c>
      <c r="I222" s="15" t="s">
        <v>23</v>
      </c>
      <c r="J222" s="6">
        <v>2637</v>
      </c>
      <c r="K222" s="6">
        <v>2770</v>
      </c>
      <c r="L222" s="6">
        <v>2612.85</v>
      </c>
      <c r="M222" s="6">
        <v>2749.05</v>
      </c>
      <c r="N222" s="6">
        <v>2624.85</v>
      </c>
      <c r="O222" s="6">
        <v>1315807</v>
      </c>
      <c r="P222" s="14" t="str">
        <f>HYPERLINK("https://gocharting.com/terminal?ticker=NSE:POLYCAB&amp;layout=1","click here to view the chart")</f>
        <v>click here to view the chart</v>
      </c>
    </row>
    <row r="223" spans="4:16" x14ac:dyDescent="0.25">
      <c r="D223" s="6" t="s">
        <v>187</v>
      </c>
      <c r="E223" s="6">
        <v>221</v>
      </c>
      <c r="F223" s="6" t="s">
        <v>253</v>
      </c>
      <c r="G223" s="16" t="s">
        <v>19</v>
      </c>
      <c r="H223" s="16" t="s">
        <v>19</v>
      </c>
      <c r="I223" s="16" t="s">
        <v>17</v>
      </c>
      <c r="J223" s="6">
        <v>435.3</v>
      </c>
      <c r="K223" s="6">
        <v>440</v>
      </c>
      <c r="L223" s="6">
        <v>431.85</v>
      </c>
      <c r="M223" s="6">
        <v>433.55</v>
      </c>
      <c r="N223" s="6">
        <v>447.45</v>
      </c>
      <c r="O223" s="6">
        <v>370493</v>
      </c>
      <c r="P223" s="14" t="str">
        <f>HYPERLINK("https://gocharting.com/terminal?ticker=NSE:PRESTIGE&amp;layout=1","click here to view the chart")</f>
        <v>click here to view the chart</v>
      </c>
    </row>
    <row r="224" spans="4:16" x14ac:dyDescent="0.25">
      <c r="D224" s="6" t="s">
        <v>187</v>
      </c>
      <c r="E224" s="6">
        <v>222</v>
      </c>
      <c r="F224" s="6" t="s">
        <v>254</v>
      </c>
      <c r="G224" s="16" t="s">
        <v>15</v>
      </c>
      <c r="H224" s="15" t="s">
        <v>16</v>
      </c>
      <c r="I224" s="16" t="s">
        <v>17</v>
      </c>
      <c r="J224" s="6">
        <v>679</v>
      </c>
      <c r="K224" s="6">
        <v>694.85</v>
      </c>
      <c r="L224" s="6">
        <v>669</v>
      </c>
      <c r="M224" s="6">
        <v>687.05</v>
      </c>
      <c r="N224" s="6">
        <v>712.6</v>
      </c>
      <c r="O224" s="6">
        <v>266015</v>
      </c>
      <c r="P224" s="14" t="str">
        <f>HYPERLINK("https://gocharting.com/terminal?ticker=NSE:RAJESHEXPO&amp;layout=1","click here to view the chart")</f>
        <v>click here to view the chart</v>
      </c>
    </row>
    <row r="225" spans="4:16" x14ac:dyDescent="0.25">
      <c r="D225" s="6" t="s">
        <v>187</v>
      </c>
      <c r="E225" s="6">
        <v>223</v>
      </c>
      <c r="F225" s="6" t="s">
        <v>255</v>
      </c>
      <c r="G225" s="16" t="s">
        <v>19</v>
      </c>
      <c r="H225" s="16" t="s">
        <v>19</v>
      </c>
      <c r="I225" s="16" t="s">
        <v>17</v>
      </c>
      <c r="J225" s="6">
        <v>969.85</v>
      </c>
      <c r="K225" s="6">
        <v>978.8</v>
      </c>
      <c r="L225" s="6">
        <v>962.55</v>
      </c>
      <c r="M225" s="6">
        <v>968.2</v>
      </c>
      <c r="N225" s="6">
        <v>995.95</v>
      </c>
      <c r="O225" s="6">
        <v>123300</v>
      </c>
      <c r="P225" s="14" t="str">
        <f>HYPERLINK("https://gocharting.com/terminal?ticker=NSE:RELAXO&amp;layout=1","click here to view the chart")</f>
        <v>click here to view the chart</v>
      </c>
    </row>
    <row r="226" spans="4:16" x14ac:dyDescent="0.25">
      <c r="D226" s="6" t="s">
        <v>187</v>
      </c>
      <c r="E226" s="6">
        <v>224</v>
      </c>
      <c r="F226" s="6" t="s">
        <v>256</v>
      </c>
      <c r="G226" s="16" t="s">
        <v>19</v>
      </c>
      <c r="H226" s="16" t="s">
        <v>19</v>
      </c>
      <c r="I226" s="16" t="s">
        <v>17</v>
      </c>
      <c r="J226" s="6">
        <v>5712</v>
      </c>
      <c r="K226" s="6">
        <v>5729.45</v>
      </c>
      <c r="L226" s="6">
        <v>5690</v>
      </c>
      <c r="M226" s="6">
        <v>5694.65</v>
      </c>
      <c r="N226" s="6">
        <v>5865</v>
      </c>
      <c r="O226" s="6">
        <v>12074</v>
      </c>
      <c r="P226" s="14" t="str">
        <f>HYPERLINK("https://gocharting.com/terminal?ticker=NSE:SANOFI&amp;layout=1","click here to view the chart")</f>
        <v>click here to view the chart</v>
      </c>
    </row>
    <row r="227" spans="4:16" x14ac:dyDescent="0.25">
      <c r="D227" s="6" t="s">
        <v>187</v>
      </c>
      <c r="E227" s="6">
        <v>225</v>
      </c>
      <c r="F227" s="6" t="s">
        <v>257</v>
      </c>
      <c r="G227" s="16" t="s">
        <v>19</v>
      </c>
      <c r="H227" s="16" t="s">
        <v>19</v>
      </c>
      <c r="I227" s="17" t="s">
        <v>20</v>
      </c>
      <c r="J227" s="6">
        <v>3300</v>
      </c>
      <c r="K227" s="6">
        <v>3304.75</v>
      </c>
      <c r="L227" s="6">
        <v>3170</v>
      </c>
      <c r="M227" s="6">
        <v>3192.15</v>
      </c>
      <c r="N227" s="6">
        <v>3370.35</v>
      </c>
      <c r="O227" s="6">
        <v>145944</v>
      </c>
      <c r="P227" s="14" t="str">
        <f>HYPERLINK("https://gocharting.com/terminal?ticker=NSE:SCHAEFFLER&amp;layout=1","click here to view the chart")</f>
        <v>click here to view the chart</v>
      </c>
    </row>
    <row r="228" spans="4:16" x14ac:dyDescent="0.25">
      <c r="D228" s="6" t="s">
        <v>187</v>
      </c>
      <c r="E228" s="6">
        <v>226</v>
      </c>
      <c r="F228" s="6" t="s">
        <v>258</v>
      </c>
      <c r="G228" s="16" t="s">
        <v>19</v>
      </c>
      <c r="H228" s="16" t="s">
        <v>19</v>
      </c>
      <c r="I228" s="15" t="s">
        <v>23</v>
      </c>
      <c r="J228" s="6">
        <v>32.75</v>
      </c>
      <c r="K228" s="6">
        <v>33.200000000000003</v>
      </c>
      <c r="L228" s="6">
        <v>32.299999999999997</v>
      </c>
      <c r="M228" s="6">
        <v>32.700000000000003</v>
      </c>
      <c r="N228" s="6">
        <v>33</v>
      </c>
      <c r="O228" s="6">
        <v>10326181</v>
      </c>
      <c r="P228" s="14" t="str">
        <f>HYPERLINK("https://gocharting.com/terminal?ticker=NSE:SJVN&amp;layout=1","click here to view the chart")</f>
        <v>click here to view the chart</v>
      </c>
    </row>
    <row r="229" spans="4:16" x14ac:dyDescent="0.25">
      <c r="D229" s="6" t="s">
        <v>187</v>
      </c>
      <c r="E229" s="6">
        <v>227</v>
      </c>
      <c r="F229" s="6" t="s">
        <v>259</v>
      </c>
      <c r="G229" s="16" t="s">
        <v>19</v>
      </c>
      <c r="H229" s="16" t="s">
        <v>19</v>
      </c>
      <c r="I229" s="16" t="s">
        <v>17</v>
      </c>
      <c r="J229" s="6">
        <v>4597</v>
      </c>
      <c r="K229" s="6">
        <v>4688.45</v>
      </c>
      <c r="L229" s="6">
        <v>4557.05</v>
      </c>
      <c r="M229" s="6">
        <v>4577.5</v>
      </c>
      <c r="N229" s="6">
        <v>4619.95</v>
      </c>
      <c r="O229" s="6">
        <v>15975</v>
      </c>
      <c r="P229" s="14" t="str">
        <f>HYPERLINK("https://gocharting.com/terminal?ticker=NSE:SKFINDIA&amp;layout=1","click here to view the chart")</f>
        <v>click here to view the chart</v>
      </c>
    </row>
    <row r="230" spans="4:16" x14ac:dyDescent="0.25">
      <c r="D230" s="6" t="s">
        <v>187</v>
      </c>
      <c r="E230" s="6">
        <v>228</v>
      </c>
      <c r="F230" s="6" t="s">
        <v>260</v>
      </c>
      <c r="G230" s="16" t="s">
        <v>19</v>
      </c>
      <c r="H230" s="16" t="s">
        <v>19</v>
      </c>
      <c r="I230" s="16" t="s">
        <v>17</v>
      </c>
      <c r="J230" s="6">
        <v>3898.4</v>
      </c>
      <c r="K230" s="6">
        <v>3949.9</v>
      </c>
      <c r="L230" s="6">
        <v>3860</v>
      </c>
      <c r="M230" s="6">
        <v>3898.15</v>
      </c>
      <c r="N230" s="6">
        <v>3914</v>
      </c>
      <c r="O230" s="6">
        <v>44708</v>
      </c>
      <c r="P230" s="14" t="str">
        <f>HYPERLINK("https://gocharting.com/terminal?ticker=NSE:SOLARINDS&amp;layout=1","click here to view the chart")</f>
        <v>click here to view the chart</v>
      </c>
    </row>
    <row r="231" spans="4:16" x14ac:dyDescent="0.25">
      <c r="D231" s="6" t="s">
        <v>187</v>
      </c>
      <c r="E231" s="6">
        <v>229</v>
      </c>
      <c r="F231" s="6" t="s">
        <v>261</v>
      </c>
      <c r="G231" s="16" t="s">
        <v>15</v>
      </c>
      <c r="H231" s="15" t="s">
        <v>16</v>
      </c>
      <c r="I231" s="17" t="s">
        <v>20</v>
      </c>
      <c r="J231" s="6">
        <v>508.6</v>
      </c>
      <c r="K231" s="6">
        <v>521.9</v>
      </c>
      <c r="L231" s="6">
        <v>507.95</v>
      </c>
      <c r="M231" s="6">
        <v>514.9</v>
      </c>
      <c r="N231" s="6">
        <v>518</v>
      </c>
      <c r="O231" s="6">
        <v>625205</v>
      </c>
      <c r="P231" s="14" t="str">
        <f>HYPERLINK("https://gocharting.com/terminal?ticker=NSE:SUMICHEM&amp;layout=1","click here to view the chart")</f>
        <v>click here to view the chart</v>
      </c>
    </row>
    <row r="232" spans="4:16" x14ac:dyDescent="0.25">
      <c r="D232" s="6" t="s">
        <v>187</v>
      </c>
      <c r="E232" s="6">
        <v>230</v>
      </c>
      <c r="F232" s="6" t="s">
        <v>262</v>
      </c>
      <c r="G232" s="16" t="s">
        <v>19</v>
      </c>
      <c r="H232" s="16" t="s">
        <v>19</v>
      </c>
      <c r="I232" s="15" t="s">
        <v>23</v>
      </c>
      <c r="J232" s="6">
        <v>2305</v>
      </c>
      <c r="K232" s="6">
        <v>2334.6</v>
      </c>
      <c r="L232" s="6">
        <v>2274</v>
      </c>
      <c r="M232" s="6">
        <v>2298.25</v>
      </c>
      <c r="N232" s="6">
        <v>2315</v>
      </c>
      <c r="O232" s="6">
        <v>167814</v>
      </c>
      <c r="P232" s="14" t="str">
        <f>HYPERLINK("https://gocharting.com/terminal?ticker=NSE:SUNDARMFIN&amp;layout=1","click here to view the chart")</f>
        <v>click here to view the chart</v>
      </c>
    </row>
    <row r="233" spans="4:16" x14ac:dyDescent="0.25">
      <c r="D233" s="6" t="s">
        <v>187</v>
      </c>
      <c r="E233" s="6">
        <v>231</v>
      </c>
      <c r="F233" s="6" t="s">
        <v>263</v>
      </c>
      <c r="G233" s="16" t="s">
        <v>19</v>
      </c>
      <c r="H233" s="16" t="s">
        <v>19</v>
      </c>
      <c r="I233" s="17" t="s">
        <v>20</v>
      </c>
      <c r="J233" s="6">
        <v>925</v>
      </c>
      <c r="K233" s="6">
        <v>935.1</v>
      </c>
      <c r="L233" s="6">
        <v>911.7</v>
      </c>
      <c r="M233" s="6">
        <v>917.05</v>
      </c>
      <c r="N233" s="6">
        <v>945</v>
      </c>
      <c r="O233" s="6">
        <v>110554</v>
      </c>
      <c r="P233" s="14" t="str">
        <f>HYPERLINK("https://gocharting.com/terminal?ticker=NSE:SUNDRMFAST&amp;layout=1","click here to view the chart")</f>
        <v>click here to view the chart</v>
      </c>
    </row>
    <row r="234" spans="4:16" x14ac:dyDescent="0.25">
      <c r="D234" s="6" t="s">
        <v>187</v>
      </c>
      <c r="E234" s="6">
        <v>232</v>
      </c>
      <c r="F234" s="6" t="s">
        <v>264</v>
      </c>
      <c r="G234" s="16" t="s">
        <v>15</v>
      </c>
      <c r="H234" s="15" t="s">
        <v>16</v>
      </c>
      <c r="I234" s="15" t="s">
        <v>23</v>
      </c>
      <c r="J234" s="6">
        <v>1994.85</v>
      </c>
      <c r="K234" s="6">
        <v>2044.2</v>
      </c>
      <c r="L234" s="6">
        <v>1978.55</v>
      </c>
      <c r="M234" s="6">
        <v>2021.7</v>
      </c>
      <c r="N234" s="6">
        <v>2035</v>
      </c>
      <c r="O234" s="6">
        <v>103171</v>
      </c>
      <c r="P234" s="14" t="str">
        <f>HYPERLINK("https://gocharting.com/terminal?ticker=NSE:SUPREMEIND&amp;layout=1","click here to view the chart")</f>
        <v>click here to view the chart</v>
      </c>
    </row>
    <row r="235" spans="4:16" x14ac:dyDescent="0.25">
      <c r="D235" s="6" t="s">
        <v>187</v>
      </c>
      <c r="E235" s="6">
        <v>233</v>
      </c>
      <c r="F235" s="6" t="s">
        <v>265</v>
      </c>
      <c r="G235" s="16" t="s">
        <v>15</v>
      </c>
      <c r="H235" s="15" t="s">
        <v>16</v>
      </c>
      <c r="I235" s="17" t="s">
        <v>20</v>
      </c>
      <c r="J235" s="6">
        <v>390.6</v>
      </c>
      <c r="K235" s="6">
        <v>415.4</v>
      </c>
      <c r="L235" s="6">
        <v>390.5</v>
      </c>
      <c r="M235" s="6">
        <v>408.7</v>
      </c>
      <c r="N235" s="6">
        <v>417.25</v>
      </c>
      <c r="O235" s="6">
        <v>296849</v>
      </c>
      <c r="P235" s="14" t="str">
        <f>HYPERLINK("https://gocharting.com/terminal?ticker=NSE:SUVENPHAR&amp;layout=1","click here to view the chart")</f>
        <v>click here to view the chart</v>
      </c>
    </row>
    <row r="236" spans="4:16" x14ac:dyDescent="0.25">
      <c r="D236" s="6" t="s">
        <v>187</v>
      </c>
      <c r="E236" s="6">
        <v>234</v>
      </c>
      <c r="F236" s="6" t="s">
        <v>266</v>
      </c>
      <c r="G236" s="16" t="s">
        <v>15</v>
      </c>
      <c r="H236" s="15" t="s">
        <v>16</v>
      </c>
      <c r="I236" s="17" t="s">
        <v>20</v>
      </c>
      <c r="J236" s="6">
        <v>538.20000000000005</v>
      </c>
      <c r="K236" s="6">
        <v>557.29999999999995</v>
      </c>
      <c r="L236" s="6">
        <v>535.1</v>
      </c>
      <c r="M236" s="6">
        <v>554.25</v>
      </c>
      <c r="N236" s="6">
        <v>565.45000000000005</v>
      </c>
      <c r="O236" s="6">
        <v>518911</v>
      </c>
      <c r="P236" s="14" t="str">
        <f>HYPERLINK("https://gocharting.com/terminal?ticker=NSE:SYNGENE&amp;layout=1","click here to view the chart")</f>
        <v>click here to view the chart</v>
      </c>
    </row>
    <row r="237" spans="4:16" x14ac:dyDescent="0.25">
      <c r="D237" s="6" t="s">
        <v>187</v>
      </c>
      <c r="E237" s="6">
        <v>235</v>
      </c>
      <c r="F237" s="6" t="s">
        <v>267</v>
      </c>
      <c r="G237" s="15" t="s">
        <v>25</v>
      </c>
      <c r="H237" s="15" t="s">
        <v>16</v>
      </c>
      <c r="I237" s="15" t="s">
        <v>23</v>
      </c>
      <c r="J237" s="6">
        <v>1204.9000000000001</v>
      </c>
      <c r="K237" s="6">
        <v>1248</v>
      </c>
      <c r="L237" s="6">
        <v>1196.9000000000001</v>
      </c>
      <c r="M237" s="6">
        <v>1238.2</v>
      </c>
      <c r="N237" s="6">
        <v>1204</v>
      </c>
      <c r="O237" s="6">
        <v>1678706</v>
      </c>
      <c r="P237" s="14" t="str">
        <f>HYPERLINK("https://gocharting.com/terminal?ticker=NSE:TATACOMM&amp;layout=1","click here to view the chart")</f>
        <v>click here to view the chart</v>
      </c>
    </row>
    <row r="238" spans="4:16" x14ac:dyDescent="0.25">
      <c r="D238" s="6" t="s">
        <v>187</v>
      </c>
      <c r="E238" s="6">
        <v>236</v>
      </c>
      <c r="F238" s="6" t="s">
        <v>268</v>
      </c>
      <c r="G238" s="16" t="s">
        <v>19</v>
      </c>
      <c r="H238" s="16" t="s">
        <v>19</v>
      </c>
      <c r="I238" s="15" t="s">
        <v>23</v>
      </c>
      <c r="J238" s="6">
        <v>7760</v>
      </c>
      <c r="K238" s="6">
        <v>7770</v>
      </c>
      <c r="L238" s="6">
        <v>7168.4</v>
      </c>
      <c r="M238" s="6">
        <v>7204.65</v>
      </c>
      <c r="N238" s="6">
        <v>8565</v>
      </c>
      <c r="O238" s="6">
        <v>1890522</v>
      </c>
      <c r="P238" s="14" t="str">
        <f>HYPERLINK("https://gocharting.com/terminal?ticker=NSE:TATAELXSI&amp;layout=1","click here to view the chart")</f>
        <v>click here to view the chart</v>
      </c>
    </row>
    <row r="239" spans="4:16" x14ac:dyDescent="0.25">
      <c r="D239" s="6" t="s">
        <v>187</v>
      </c>
      <c r="E239" s="6">
        <v>237</v>
      </c>
      <c r="F239" s="6" t="s">
        <v>269</v>
      </c>
      <c r="G239" s="16" t="s">
        <v>15</v>
      </c>
      <c r="H239" s="15" t="s">
        <v>16</v>
      </c>
      <c r="I239" s="16" t="s">
        <v>17</v>
      </c>
      <c r="J239" s="6">
        <v>2042.85</v>
      </c>
      <c r="K239" s="6">
        <v>2069.6</v>
      </c>
      <c r="L239" s="6">
        <v>2015.55</v>
      </c>
      <c r="M239" s="6">
        <v>2058.0500000000002</v>
      </c>
      <c r="N239" s="6">
        <v>2105.25</v>
      </c>
      <c r="O239" s="6">
        <v>38565</v>
      </c>
      <c r="P239" s="14" t="str">
        <f>HYPERLINK("https://gocharting.com/terminal?ticker=NSE:THERMAX&amp;layout=1","click here to view the chart")</f>
        <v>click here to view the chart</v>
      </c>
    </row>
    <row r="240" spans="4:16" x14ac:dyDescent="0.25">
      <c r="D240" s="6" t="s">
        <v>187</v>
      </c>
      <c r="E240" s="6">
        <v>238</v>
      </c>
      <c r="F240" s="6" t="s">
        <v>270</v>
      </c>
      <c r="G240" s="15" t="s">
        <v>22</v>
      </c>
      <c r="H240" s="15" t="s">
        <v>16</v>
      </c>
      <c r="I240" s="17" t="s">
        <v>20</v>
      </c>
      <c r="J240" s="6">
        <v>2678</v>
      </c>
      <c r="K240" s="6">
        <v>2779.9</v>
      </c>
      <c r="L240" s="6">
        <v>2669.4</v>
      </c>
      <c r="M240" s="6">
        <v>2760.75</v>
      </c>
      <c r="N240" s="6">
        <v>2732.65</v>
      </c>
      <c r="O240" s="6">
        <v>375284</v>
      </c>
      <c r="P240" s="14" t="str">
        <f>HYPERLINK("https://gocharting.com/terminal?ticker=NSE:TIINDIA&amp;layout=1","click here to view the chart")</f>
        <v>click here to view the chart</v>
      </c>
    </row>
    <row r="241" spans="4:16" x14ac:dyDescent="0.25">
      <c r="D241" s="6" t="s">
        <v>187</v>
      </c>
      <c r="E241" s="6">
        <v>239</v>
      </c>
      <c r="F241" s="6" t="s">
        <v>271</v>
      </c>
      <c r="G241" s="16" t="s">
        <v>19</v>
      </c>
      <c r="H241" s="16" t="s">
        <v>19</v>
      </c>
      <c r="I241" s="16" t="s">
        <v>17</v>
      </c>
      <c r="J241" s="6">
        <v>984.35</v>
      </c>
      <c r="K241" s="6">
        <v>986</v>
      </c>
      <c r="L241" s="6">
        <v>975.4</v>
      </c>
      <c r="M241" s="6">
        <v>979.6</v>
      </c>
      <c r="N241" s="6">
        <v>1008</v>
      </c>
      <c r="O241" s="6">
        <v>20142</v>
      </c>
      <c r="P241" s="14" t="str">
        <f>HYPERLINK("https://gocharting.com/terminal?ticker=NSE:TTKPRESTIG&amp;layout=1","click here to view the chart")</f>
        <v>click here to view the chart</v>
      </c>
    </row>
    <row r="242" spans="4:16" x14ac:dyDescent="0.25">
      <c r="D242" s="6" t="s">
        <v>187</v>
      </c>
      <c r="E242" s="6">
        <v>240</v>
      </c>
      <c r="F242" s="6" t="s">
        <v>272</v>
      </c>
      <c r="G242" s="15" t="s">
        <v>22</v>
      </c>
      <c r="H242" s="15" t="s">
        <v>16</v>
      </c>
      <c r="I242" s="15" t="s">
        <v>23</v>
      </c>
      <c r="J242" s="6">
        <v>44.25</v>
      </c>
      <c r="K242" s="6">
        <v>46.2</v>
      </c>
      <c r="L242" s="6">
        <v>44.15</v>
      </c>
      <c r="M242" s="6">
        <v>45.95</v>
      </c>
      <c r="N242" s="6">
        <v>44.2</v>
      </c>
      <c r="O242" s="6">
        <v>16359649</v>
      </c>
      <c r="P242" s="14" t="str">
        <f>HYPERLINK("https://gocharting.com/terminal?ticker=NSE:UNIONBANK&amp;layout=1","click here to view the chart")</f>
        <v>click here to view the chart</v>
      </c>
    </row>
    <row r="243" spans="4:16" x14ac:dyDescent="0.25">
      <c r="D243" s="6" t="s">
        <v>187</v>
      </c>
      <c r="E243" s="6">
        <v>241</v>
      </c>
      <c r="F243" s="6" t="s">
        <v>273</v>
      </c>
      <c r="G243" s="16" t="s">
        <v>19</v>
      </c>
      <c r="H243" s="16" t="s">
        <v>19</v>
      </c>
      <c r="I243" s="17" t="s">
        <v>20</v>
      </c>
      <c r="J243" s="6">
        <v>1000</v>
      </c>
      <c r="K243" s="6">
        <v>1006.95</v>
      </c>
      <c r="L243" s="6">
        <v>965.1</v>
      </c>
      <c r="M243" s="6">
        <v>999.3</v>
      </c>
      <c r="N243" s="6">
        <v>1098.95</v>
      </c>
      <c r="O243" s="6">
        <v>2413072</v>
      </c>
      <c r="P243" s="14" t="str">
        <f>HYPERLINK("https://gocharting.com/terminal?ticker=NSE:VBL&amp;layout=1","click here to view the chart")</f>
        <v>click here to view the chart</v>
      </c>
    </row>
    <row r="244" spans="4:16" x14ac:dyDescent="0.25">
      <c r="D244" s="6" t="s">
        <v>187</v>
      </c>
      <c r="E244" s="6">
        <v>242</v>
      </c>
      <c r="F244" s="6" t="s">
        <v>274</v>
      </c>
      <c r="G244" s="16" t="s">
        <v>19</v>
      </c>
      <c r="H244" s="16" t="s">
        <v>19</v>
      </c>
      <c r="I244" s="17" t="s">
        <v>20</v>
      </c>
      <c r="J244" s="6">
        <v>249.5</v>
      </c>
      <c r="K244" s="6">
        <v>250.95</v>
      </c>
      <c r="L244" s="6">
        <v>243.6</v>
      </c>
      <c r="M244" s="6">
        <v>246.75</v>
      </c>
      <c r="N244" s="6">
        <v>255</v>
      </c>
      <c r="O244" s="6">
        <v>439426</v>
      </c>
      <c r="P244" s="14" t="str">
        <f>HYPERLINK("https://gocharting.com/terminal?ticker=NSE:VGUARD&amp;layout=1","click here to view the chart")</f>
        <v>click here to view the chart</v>
      </c>
    </row>
    <row r="245" spans="4:16" x14ac:dyDescent="0.25">
      <c r="D245" s="6" t="s">
        <v>187</v>
      </c>
      <c r="E245" s="6">
        <v>243</v>
      </c>
      <c r="F245" s="6" t="s">
        <v>275</v>
      </c>
      <c r="G245" s="16" t="s">
        <v>19</v>
      </c>
      <c r="H245" s="16" t="s">
        <v>19</v>
      </c>
      <c r="I245" s="15" t="s">
        <v>23</v>
      </c>
      <c r="J245" s="6">
        <v>1941.45</v>
      </c>
      <c r="K245" s="6">
        <v>1941.55</v>
      </c>
      <c r="L245" s="6">
        <v>1875</v>
      </c>
      <c r="M245" s="6">
        <v>1889.2</v>
      </c>
      <c r="N245" s="6">
        <v>2014.95</v>
      </c>
      <c r="O245" s="6">
        <v>82009</v>
      </c>
      <c r="P245" s="14" t="str">
        <f>HYPERLINK("https://gocharting.com/terminal?ticker=NSE:VINATIORGA&amp;layout=1","click here to view the chart")</f>
        <v>click here to view the chart</v>
      </c>
    </row>
    <row r="246" spans="4:16" x14ac:dyDescent="0.25">
      <c r="D246" s="6" t="s">
        <v>187</v>
      </c>
      <c r="E246" s="6">
        <v>244</v>
      </c>
      <c r="F246" s="6" t="s">
        <v>276</v>
      </c>
      <c r="G246" s="16" t="s">
        <v>15</v>
      </c>
      <c r="H246" s="15" t="s">
        <v>16</v>
      </c>
      <c r="I246" s="16" t="s">
        <v>17</v>
      </c>
      <c r="J246" s="6">
        <v>1563.85</v>
      </c>
      <c r="K246" s="6">
        <v>1623</v>
      </c>
      <c r="L246" s="6">
        <v>1560.95</v>
      </c>
      <c r="M246" s="6">
        <v>1600.65</v>
      </c>
      <c r="N246" s="6">
        <v>1629.75</v>
      </c>
      <c r="O246" s="6">
        <v>47616</v>
      </c>
      <c r="P246" s="14" t="str">
        <f>HYPERLINK("https://gocharting.com/terminal?ticker=NSE:WHIRLPOOL&amp;layout=1","click here to view the chart")</f>
        <v>click here to view the chart</v>
      </c>
    </row>
    <row r="247" spans="4:16" x14ac:dyDescent="0.25">
      <c r="D247" s="6" t="s">
        <v>187</v>
      </c>
      <c r="E247" s="6">
        <v>245</v>
      </c>
      <c r="F247" s="6" t="s">
        <v>277</v>
      </c>
      <c r="G247" s="16" t="s">
        <v>15</v>
      </c>
      <c r="H247" s="15" t="s">
        <v>16</v>
      </c>
      <c r="I247" s="16" t="s">
        <v>17</v>
      </c>
      <c r="J247" s="6">
        <v>1712.7</v>
      </c>
      <c r="K247" s="6">
        <v>1749.9</v>
      </c>
      <c r="L247" s="6">
        <v>1712</v>
      </c>
      <c r="M247" s="6">
        <v>1728.35</v>
      </c>
      <c r="N247" s="6">
        <v>1769</v>
      </c>
      <c r="O247" s="6">
        <v>16771</v>
      </c>
      <c r="P247" s="14" t="str">
        <f>HYPERLINK("https://gocharting.com/terminal?ticker=NSE:ZYDUSWELL&amp;layout=1","click here to view the chart")</f>
        <v>click here to view the chart</v>
      </c>
    </row>
    <row r="248" spans="4:16" x14ac:dyDescent="0.25">
      <c r="D248" s="6" t="s">
        <v>278</v>
      </c>
      <c r="E248" s="6">
        <v>246</v>
      </c>
      <c r="F248" s="6" t="s">
        <v>279</v>
      </c>
      <c r="G248" s="16" t="s">
        <v>15</v>
      </c>
      <c r="H248" s="15" t="s">
        <v>16</v>
      </c>
      <c r="I248" s="16" t="s">
        <v>17</v>
      </c>
      <c r="J248" s="6">
        <v>462.05</v>
      </c>
      <c r="K248" s="6">
        <v>466.75</v>
      </c>
      <c r="L248" s="6">
        <v>455.8</v>
      </c>
      <c r="M248" s="6">
        <v>463</v>
      </c>
      <c r="N248" s="6">
        <v>468.45</v>
      </c>
      <c r="O248" s="6">
        <v>68160</v>
      </c>
      <c r="P248" s="14" t="str">
        <f>HYPERLINK("https://gocharting.com/terminal?ticker=NSE:AARTIDRUGS&amp;layout=1","click here to view the chart")</f>
        <v>click here to view the chart</v>
      </c>
    </row>
    <row r="249" spans="4:16" x14ac:dyDescent="0.25">
      <c r="D249" s="6" t="s">
        <v>278</v>
      </c>
      <c r="E249" s="6">
        <v>247</v>
      </c>
      <c r="F249" s="6" t="s">
        <v>280</v>
      </c>
      <c r="G249" s="15" t="s">
        <v>25</v>
      </c>
      <c r="H249" s="15" t="s">
        <v>16</v>
      </c>
      <c r="I249" s="15" t="s">
        <v>23</v>
      </c>
      <c r="J249" s="6">
        <v>267.5</v>
      </c>
      <c r="K249" s="6">
        <v>282.85000000000002</v>
      </c>
      <c r="L249" s="6">
        <v>267.5</v>
      </c>
      <c r="M249" s="6">
        <v>279.64999999999998</v>
      </c>
      <c r="N249" s="6">
        <v>274</v>
      </c>
      <c r="O249" s="6">
        <v>203378</v>
      </c>
      <c r="P249" s="14" t="str">
        <f>HYPERLINK("https://gocharting.com/terminal?ticker=NSE:ADVENZYMES&amp;layout=1","click here to view the chart")</f>
        <v>click here to view the chart</v>
      </c>
    </row>
    <row r="250" spans="4:16" x14ac:dyDescent="0.25">
      <c r="D250" s="6" t="s">
        <v>278</v>
      </c>
      <c r="E250" s="6">
        <v>248</v>
      </c>
      <c r="F250" s="6" t="s">
        <v>281</v>
      </c>
      <c r="G250" s="16" t="s">
        <v>19</v>
      </c>
      <c r="H250" s="16" t="s">
        <v>19</v>
      </c>
      <c r="I250" s="17" t="s">
        <v>20</v>
      </c>
      <c r="J250" s="6">
        <v>274.35000000000002</v>
      </c>
      <c r="K250" s="6">
        <v>277.39999999999998</v>
      </c>
      <c r="L250" s="6">
        <v>270.3</v>
      </c>
      <c r="M250" s="6">
        <v>274.3</v>
      </c>
      <c r="N250" s="6">
        <v>282.60000000000002</v>
      </c>
      <c r="O250" s="6">
        <v>717146</v>
      </c>
      <c r="P250" s="14" t="str">
        <f>HYPERLINK("https://gocharting.com/terminal?ticker=NSE:AEGISCHEM&amp;layout=1","click here to view the chart")</f>
        <v>click here to view the chart</v>
      </c>
    </row>
    <row r="251" spans="4:16" x14ac:dyDescent="0.25">
      <c r="D251" s="6" t="s">
        <v>278</v>
      </c>
      <c r="E251" s="6">
        <v>249</v>
      </c>
      <c r="F251" s="6" t="s">
        <v>282</v>
      </c>
      <c r="G251" s="16" t="s">
        <v>15</v>
      </c>
      <c r="H251" s="15" t="s">
        <v>16</v>
      </c>
      <c r="I251" s="16" t="s">
        <v>17</v>
      </c>
      <c r="J251" s="6">
        <v>1170</v>
      </c>
      <c r="K251" s="6">
        <v>1180.95</v>
      </c>
      <c r="L251" s="6">
        <v>1161.45</v>
      </c>
      <c r="M251" s="6">
        <v>1179.0999999999999</v>
      </c>
      <c r="N251" s="6">
        <v>1232.4000000000001</v>
      </c>
      <c r="O251" s="6">
        <v>155110</v>
      </c>
      <c r="P251" s="14" t="str">
        <f>HYPERLINK("https://gocharting.com/terminal?ticker=NSE:AFFLE&amp;layout=1","click here to view the chart")</f>
        <v>click here to view the chart</v>
      </c>
    </row>
    <row r="252" spans="4:16" x14ac:dyDescent="0.25">
      <c r="D252" s="6" t="s">
        <v>278</v>
      </c>
      <c r="E252" s="6">
        <v>250</v>
      </c>
      <c r="F252" s="6" t="s">
        <v>283</v>
      </c>
      <c r="G252" s="16" t="s">
        <v>19</v>
      </c>
      <c r="H252" s="16" t="s">
        <v>19</v>
      </c>
      <c r="I252" s="17" t="s">
        <v>20</v>
      </c>
      <c r="J252" s="6">
        <v>66.95</v>
      </c>
      <c r="K252" s="6">
        <v>68.05</v>
      </c>
      <c r="L252" s="6">
        <v>66.7</v>
      </c>
      <c r="M252" s="6">
        <v>66.900000000000006</v>
      </c>
      <c r="N252" s="6">
        <v>69.8</v>
      </c>
      <c r="O252" s="6">
        <v>166624</v>
      </c>
      <c r="P252" s="14" t="str">
        <f>HYPERLINK("https://gocharting.com/terminal?ticker=NSE:ALEMBICLTD&amp;layout=1","click here to view the chart")</f>
        <v>click here to view the chart</v>
      </c>
    </row>
    <row r="253" spans="4:16" x14ac:dyDescent="0.25">
      <c r="D253" s="6" t="s">
        <v>278</v>
      </c>
      <c r="E253" s="6">
        <v>251</v>
      </c>
      <c r="F253" s="6" t="s">
        <v>284</v>
      </c>
      <c r="G253" s="16" t="s">
        <v>19</v>
      </c>
      <c r="H253" s="16" t="s">
        <v>19</v>
      </c>
      <c r="I253" s="16" t="s">
        <v>17</v>
      </c>
      <c r="J253" s="6">
        <v>2990</v>
      </c>
      <c r="K253" s="6">
        <v>2990</v>
      </c>
      <c r="L253" s="6">
        <v>2903.15</v>
      </c>
      <c r="M253" s="6">
        <v>2918.05</v>
      </c>
      <c r="N253" s="6">
        <v>2922.9</v>
      </c>
      <c r="O253" s="6">
        <v>26051</v>
      </c>
      <c r="P253" s="14" t="str">
        <f>HYPERLINK("https://gocharting.com/terminal?ticker=NSE:ALKYLAMINE&amp;layout=1","click here to view the chart")</f>
        <v>click here to view the chart</v>
      </c>
    </row>
    <row r="254" spans="4:16" x14ac:dyDescent="0.25">
      <c r="D254" s="6" t="s">
        <v>278</v>
      </c>
      <c r="E254" s="6">
        <v>252</v>
      </c>
      <c r="F254" s="6" t="s">
        <v>285</v>
      </c>
      <c r="G254" s="16" t="s">
        <v>199</v>
      </c>
      <c r="H254" s="15" t="s">
        <v>16</v>
      </c>
      <c r="I254" s="16" t="s">
        <v>17</v>
      </c>
      <c r="J254" s="6">
        <v>29.15</v>
      </c>
      <c r="K254" s="6">
        <v>30.65</v>
      </c>
      <c r="L254" s="6">
        <v>28.7</v>
      </c>
      <c r="M254" s="6">
        <v>30.2</v>
      </c>
      <c r="N254" s="6">
        <v>33.75</v>
      </c>
      <c r="O254" s="6">
        <v>32934936</v>
      </c>
      <c r="P254" s="14" t="str">
        <f>HYPERLINK("https://gocharting.com/terminal?ticker=NSE:ALOKINDS&amp;layout=1","click here to view the chart")</f>
        <v>click here to view the chart</v>
      </c>
    </row>
    <row r="255" spans="4:16" x14ac:dyDescent="0.25">
      <c r="D255" s="6" t="s">
        <v>278</v>
      </c>
      <c r="E255" s="6">
        <v>253</v>
      </c>
      <c r="F255" s="6" t="s">
        <v>286</v>
      </c>
      <c r="G255" s="16" t="s">
        <v>19</v>
      </c>
      <c r="H255" s="16" t="s">
        <v>19</v>
      </c>
      <c r="I255" s="16" t="s">
        <v>17</v>
      </c>
      <c r="J255" s="6">
        <v>2246.4</v>
      </c>
      <c r="K255" s="6">
        <v>2283</v>
      </c>
      <c r="L255" s="6">
        <v>2222.85</v>
      </c>
      <c r="M255" s="6">
        <v>2243.6</v>
      </c>
      <c r="N255" s="6">
        <v>2388</v>
      </c>
      <c r="O255" s="6">
        <v>21258</v>
      </c>
      <c r="P255" s="14" t="str">
        <f>HYPERLINK("https://gocharting.com/terminal?ticker=NSE:AMBER&amp;layout=1","click here to view the chart")</f>
        <v>click here to view the chart</v>
      </c>
    </row>
    <row r="256" spans="4:16" x14ac:dyDescent="0.25">
      <c r="D256" s="6" t="s">
        <v>278</v>
      </c>
      <c r="E256" s="6">
        <v>254</v>
      </c>
      <c r="F256" s="6" t="s">
        <v>287</v>
      </c>
      <c r="G256" s="6" t="s">
        <v>199</v>
      </c>
      <c r="H256" s="6"/>
      <c r="I256" s="6"/>
      <c r="J256" s="6"/>
      <c r="K256" s="6"/>
      <c r="L256" s="6"/>
      <c r="M256" s="6"/>
      <c r="P256" s="14" t="str">
        <f>HYPERLINK("https://gocharting.com/terminal?ticker=NSE:ANGELBRKG&amp;layout=1","click here to view the chart")</f>
        <v>click here to view the chart</v>
      </c>
    </row>
    <row r="257" spans="4:16" x14ac:dyDescent="0.25">
      <c r="D257" s="6" t="s">
        <v>278</v>
      </c>
      <c r="E257" s="6">
        <v>255</v>
      </c>
      <c r="F257" s="6" t="s">
        <v>288</v>
      </c>
      <c r="G257" s="16" t="s">
        <v>15</v>
      </c>
      <c r="H257" s="15" t="s">
        <v>16</v>
      </c>
      <c r="I257" s="16" t="s">
        <v>17</v>
      </c>
      <c r="J257" s="6">
        <v>1124.8</v>
      </c>
      <c r="K257" s="6">
        <v>1138.5999999999999</v>
      </c>
      <c r="L257" s="6">
        <v>1101.9000000000001</v>
      </c>
      <c r="M257" s="6">
        <v>1128.1500000000001</v>
      </c>
      <c r="N257" s="6">
        <v>1143.9000000000001</v>
      </c>
      <c r="O257" s="6">
        <v>334792</v>
      </c>
      <c r="P257" s="14" t="str">
        <f>HYPERLINK("https://gocharting.com/terminal?ticker=NSE:APLAPOLLO&amp;layout=1","click here to view the chart")</f>
        <v>click here to view the chart</v>
      </c>
    </row>
    <row r="258" spans="4:16" x14ac:dyDescent="0.25">
      <c r="D258" s="6" t="s">
        <v>278</v>
      </c>
      <c r="E258" s="6">
        <v>256</v>
      </c>
      <c r="F258" s="6" t="s">
        <v>289</v>
      </c>
      <c r="G258" s="16" t="s">
        <v>19</v>
      </c>
      <c r="H258" s="16" t="s">
        <v>19</v>
      </c>
      <c r="I258" s="16" t="s">
        <v>17</v>
      </c>
      <c r="J258" s="6">
        <v>614.85</v>
      </c>
      <c r="K258" s="6">
        <v>623.25</v>
      </c>
      <c r="L258" s="6">
        <v>608</v>
      </c>
      <c r="M258" s="6">
        <v>609.85</v>
      </c>
      <c r="N258" s="6">
        <v>645</v>
      </c>
      <c r="O258" s="6">
        <v>102684</v>
      </c>
      <c r="P258" s="14" t="str">
        <f>HYPERLINK("https://gocharting.com/terminal?ticker=NSE:ASAHIINDIA&amp;layout=1","click here to view the chart")</f>
        <v>click here to view the chart</v>
      </c>
    </row>
    <row r="259" spans="4:16" x14ac:dyDescent="0.25">
      <c r="D259" s="6" t="s">
        <v>278</v>
      </c>
      <c r="E259" s="6">
        <v>257</v>
      </c>
      <c r="F259" s="6" t="s">
        <v>290</v>
      </c>
      <c r="G259" s="16" t="s">
        <v>19</v>
      </c>
      <c r="H259" s="16" t="s">
        <v>19</v>
      </c>
      <c r="I259" s="17" t="s">
        <v>20</v>
      </c>
      <c r="J259" s="6">
        <v>76.150000000000006</v>
      </c>
      <c r="K259" s="6">
        <v>77.599999999999994</v>
      </c>
      <c r="L259" s="6">
        <v>75.2</v>
      </c>
      <c r="M259" s="6">
        <v>75.95</v>
      </c>
      <c r="N259" s="6">
        <v>78.400000000000006</v>
      </c>
      <c r="O259" s="6">
        <v>508595</v>
      </c>
      <c r="P259" s="14" t="str">
        <f>HYPERLINK("https://gocharting.com/terminal?ticker=NSE:ASHOKA&amp;layout=1","click here to view the chart")</f>
        <v>click here to view the chart</v>
      </c>
    </row>
    <row r="260" spans="4:16" x14ac:dyDescent="0.25">
      <c r="D260" s="6" t="s">
        <v>278</v>
      </c>
      <c r="E260" s="6">
        <v>258</v>
      </c>
      <c r="F260" s="6" t="s">
        <v>291</v>
      </c>
      <c r="G260" s="16" t="s">
        <v>15</v>
      </c>
      <c r="H260" s="15" t="s">
        <v>16</v>
      </c>
      <c r="I260" s="17" t="s">
        <v>20</v>
      </c>
      <c r="J260" s="6">
        <v>248.7</v>
      </c>
      <c r="K260" s="6">
        <v>251.7</v>
      </c>
      <c r="L260" s="6">
        <v>248</v>
      </c>
      <c r="M260" s="6">
        <v>249.95</v>
      </c>
      <c r="N260" s="6">
        <v>252</v>
      </c>
      <c r="O260" s="6">
        <v>1233246</v>
      </c>
      <c r="P260" s="14" t="str">
        <f>HYPERLINK("https://gocharting.com/terminal?ticker=NSE:ASTERDM&amp;layout=1","click here to view the chart")</f>
        <v>click here to view the chart</v>
      </c>
    </row>
    <row r="261" spans="4:16" x14ac:dyDescent="0.25">
      <c r="D261" s="6" t="s">
        <v>278</v>
      </c>
      <c r="E261" s="6">
        <v>259</v>
      </c>
      <c r="F261" s="6" t="s">
        <v>292</v>
      </c>
      <c r="G261" s="16" t="s">
        <v>19</v>
      </c>
      <c r="H261" s="16" t="s">
        <v>19</v>
      </c>
      <c r="I261" s="17" t="s">
        <v>20</v>
      </c>
      <c r="J261" s="6">
        <v>485.1</v>
      </c>
      <c r="K261" s="6">
        <v>487.3</v>
      </c>
      <c r="L261" s="6">
        <v>473</v>
      </c>
      <c r="M261" s="6">
        <v>475.75</v>
      </c>
      <c r="N261" s="6">
        <v>490</v>
      </c>
      <c r="O261" s="6">
        <v>369828</v>
      </c>
      <c r="P261" s="14" t="str">
        <f>HYPERLINK("https://gocharting.com/terminal?ticker=NSE:AVANTIFEED&amp;layout=1","click here to view the chart")</f>
        <v>click here to view the chart</v>
      </c>
    </row>
    <row r="262" spans="4:16" x14ac:dyDescent="0.25">
      <c r="D262" s="6" t="s">
        <v>278</v>
      </c>
      <c r="E262" s="6">
        <v>260</v>
      </c>
      <c r="F262" s="6" t="s">
        <v>293</v>
      </c>
      <c r="G262" s="16" t="s">
        <v>19</v>
      </c>
      <c r="H262" s="16" t="s">
        <v>19</v>
      </c>
      <c r="I262" s="16" t="s">
        <v>17</v>
      </c>
      <c r="J262" s="6">
        <v>153.15</v>
      </c>
      <c r="K262" s="6">
        <v>154.1</v>
      </c>
      <c r="L262" s="6">
        <v>151.5</v>
      </c>
      <c r="M262" s="6">
        <v>151.85</v>
      </c>
      <c r="N262" s="6">
        <v>157.6</v>
      </c>
      <c r="O262" s="6">
        <v>154011</v>
      </c>
      <c r="P262" s="14" t="str">
        <f>HYPERLINK("https://gocharting.com/terminal?ticker=NSE:BAJAJCON&amp;layout=1","click here to view the chart")</f>
        <v>click here to view the chart</v>
      </c>
    </row>
    <row r="263" spans="4:16" x14ac:dyDescent="0.25">
      <c r="D263" s="6" t="s">
        <v>278</v>
      </c>
      <c r="E263" s="6">
        <v>261</v>
      </c>
      <c r="F263" s="6" t="s">
        <v>294</v>
      </c>
      <c r="G263" s="16" t="s">
        <v>15</v>
      </c>
      <c r="H263" s="15" t="s">
        <v>16</v>
      </c>
      <c r="I263" s="17" t="s">
        <v>20</v>
      </c>
      <c r="J263" s="6">
        <v>1146.1500000000001</v>
      </c>
      <c r="K263" s="6">
        <v>1193.0999999999999</v>
      </c>
      <c r="L263" s="6">
        <v>1140</v>
      </c>
      <c r="M263" s="6">
        <v>1152.75</v>
      </c>
      <c r="N263" s="6">
        <v>1198.55</v>
      </c>
      <c r="O263" s="6">
        <v>154030</v>
      </c>
      <c r="P263" s="14" t="str">
        <f>HYPERLINK("https://gocharting.com/terminal?ticker=NSE:BAJAJELEC&amp;layout=1","click here to view the chart")</f>
        <v>click here to view the chart</v>
      </c>
    </row>
    <row r="264" spans="4:16" x14ac:dyDescent="0.25">
      <c r="D264" s="6" t="s">
        <v>278</v>
      </c>
      <c r="E264" s="6">
        <v>262</v>
      </c>
      <c r="F264" s="6" t="s">
        <v>295</v>
      </c>
      <c r="G264" s="16" t="s">
        <v>19</v>
      </c>
      <c r="H264" s="16" t="s">
        <v>19</v>
      </c>
      <c r="I264" s="16" t="s">
        <v>17</v>
      </c>
      <c r="J264" s="6">
        <v>3050.05</v>
      </c>
      <c r="K264" s="6">
        <v>3080</v>
      </c>
      <c r="L264" s="6">
        <v>3025.5</v>
      </c>
      <c r="M264" s="6">
        <v>3042.35</v>
      </c>
      <c r="N264" s="6">
        <v>3140</v>
      </c>
      <c r="O264" s="6">
        <v>39773</v>
      </c>
      <c r="P264" s="14" t="str">
        <f>HYPERLINK("https://gocharting.com/terminal?ticker=NSE:BALAMINES&amp;layout=1","click here to view the chart")</f>
        <v>click here to view the chart</v>
      </c>
    </row>
    <row r="265" spans="4:16" x14ac:dyDescent="0.25">
      <c r="D265" s="6" t="s">
        <v>278</v>
      </c>
      <c r="E265" s="6">
        <v>263</v>
      </c>
      <c r="F265" s="6" t="s">
        <v>296</v>
      </c>
      <c r="G265" s="16" t="s">
        <v>19</v>
      </c>
      <c r="H265" s="16" t="s">
        <v>19</v>
      </c>
      <c r="I265" s="16" t="s">
        <v>17</v>
      </c>
      <c r="J265" s="6">
        <v>111.8</v>
      </c>
      <c r="K265" s="6">
        <v>112</v>
      </c>
      <c r="L265" s="6">
        <v>110.6</v>
      </c>
      <c r="M265" s="6">
        <v>111.35</v>
      </c>
      <c r="N265" s="6">
        <v>115.3</v>
      </c>
      <c r="O265" s="6">
        <v>96882</v>
      </c>
      <c r="P265" s="14" t="str">
        <f>HYPERLINK("https://gocharting.com/terminal?ticker=NSE:BALMLAWRIE&amp;layout=1","click here to view the chart")</f>
        <v>click here to view the chart</v>
      </c>
    </row>
    <row r="266" spans="4:16" x14ac:dyDescent="0.25">
      <c r="D266" s="6" t="s">
        <v>278</v>
      </c>
      <c r="E266" s="6">
        <v>264</v>
      </c>
      <c r="F266" s="6" t="s">
        <v>297</v>
      </c>
      <c r="G266" s="16" t="s">
        <v>19</v>
      </c>
      <c r="H266" s="16" t="s">
        <v>19</v>
      </c>
      <c r="I266" s="16" t="s">
        <v>17</v>
      </c>
      <c r="J266" s="6">
        <v>352.3</v>
      </c>
      <c r="K266" s="6">
        <v>353.85</v>
      </c>
      <c r="L266" s="6">
        <v>345</v>
      </c>
      <c r="M266" s="6">
        <v>347.55</v>
      </c>
      <c r="N266" s="6">
        <v>360.7</v>
      </c>
      <c r="O266" s="6">
        <v>1121766</v>
      </c>
      <c r="P266" s="14" t="str">
        <f>HYPERLINK("https://gocharting.com/terminal?ticker=NSE:BALRAMCHIN&amp;layout=1","click here to view the chart")</f>
        <v>click here to view the chart</v>
      </c>
    </row>
    <row r="267" spans="4:16" x14ac:dyDescent="0.25">
      <c r="D267" s="6" t="s">
        <v>278</v>
      </c>
      <c r="E267" s="6">
        <v>265</v>
      </c>
      <c r="F267" s="6" t="s">
        <v>298</v>
      </c>
      <c r="G267" s="16" t="s">
        <v>15</v>
      </c>
      <c r="H267" s="15" t="s">
        <v>16</v>
      </c>
      <c r="I267" s="16" t="s">
        <v>17</v>
      </c>
      <c r="J267" s="6">
        <v>2869</v>
      </c>
      <c r="K267" s="6">
        <v>2899.6</v>
      </c>
      <c r="L267" s="6">
        <v>2865.8</v>
      </c>
      <c r="M267" s="6">
        <v>2884.3</v>
      </c>
      <c r="N267" s="6">
        <v>2961.6</v>
      </c>
      <c r="O267" s="6">
        <v>8215</v>
      </c>
      <c r="P267" s="14" t="str">
        <f>HYPERLINK("https://gocharting.com/terminal?ticker=NSE:BASF&amp;layout=1","click here to view the chart")</f>
        <v>click here to view the chart</v>
      </c>
    </row>
    <row r="268" spans="4:16" x14ac:dyDescent="0.25">
      <c r="D268" s="6" t="s">
        <v>278</v>
      </c>
      <c r="E268" s="6">
        <v>266</v>
      </c>
      <c r="F268" s="6" t="s">
        <v>299</v>
      </c>
      <c r="G268" s="16" t="s">
        <v>15</v>
      </c>
      <c r="H268" s="15" t="s">
        <v>16</v>
      </c>
      <c r="I268" s="17" t="s">
        <v>20</v>
      </c>
      <c r="J268" s="6">
        <v>890.2</v>
      </c>
      <c r="K268" s="6">
        <v>905</v>
      </c>
      <c r="L268" s="6">
        <v>880.15</v>
      </c>
      <c r="M268" s="6">
        <v>892.15</v>
      </c>
      <c r="N268" s="6">
        <v>902.6</v>
      </c>
      <c r="O268" s="6">
        <v>1126438</v>
      </c>
      <c r="P268" s="14" t="str">
        <f>HYPERLINK("https://gocharting.com/terminal?ticker=NSE:BDL&amp;layout=1","click here to view the chart")</f>
        <v>click here to view the chart</v>
      </c>
    </row>
    <row r="269" spans="4:16" x14ac:dyDescent="0.25">
      <c r="D269" s="6" t="s">
        <v>278</v>
      </c>
      <c r="E269" s="6">
        <v>267</v>
      </c>
      <c r="F269" s="6" t="s">
        <v>300</v>
      </c>
      <c r="G269" s="15" t="s">
        <v>25</v>
      </c>
      <c r="H269" s="15" t="s">
        <v>16</v>
      </c>
      <c r="I269" s="15" t="s">
        <v>23</v>
      </c>
      <c r="J269" s="6">
        <v>1540</v>
      </c>
      <c r="K269" s="6">
        <v>1597.9</v>
      </c>
      <c r="L269" s="6">
        <v>1515.25</v>
      </c>
      <c r="M269" s="6">
        <v>1567.3</v>
      </c>
      <c r="N269" s="6">
        <v>1555</v>
      </c>
      <c r="O269" s="6">
        <v>131512</v>
      </c>
      <c r="P269" s="14" t="str">
        <f>HYPERLINK("https://gocharting.com/terminal?ticker=NSE:BEML&amp;layout=1","click here to view the chart")</f>
        <v>click here to view the chart</v>
      </c>
    </row>
    <row r="270" spans="4:16" x14ac:dyDescent="0.25">
      <c r="D270" s="6" t="s">
        <v>278</v>
      </c>
      <c r="E270" s="6">
        <v>268</v>
      </c>
      <c r="F270" s="6" t="s">
        <v>301</v>
      </c>
      <c r="G270" s="16" t="s">
        <v>15</v>
      </c>
      <c r="H270" s="15" t="s">
        <v>16</v>
      </c>
      <c r="I270" s="17" t="s">
        <v>20</v>
      </c>
      <c r="J270" s="6">
        <v>10757.4</v>
      </c>
      <c r="K270" s="6">
        <v>10902.4</v>
      </c>
      <c r="L270" s="6">
        <v>10650</v>
      </c>
      <c r="M270" s="6">
        <v>10864.1</v>
      </c>
      <c r="N270" s="6">
        <v>11156.4</v>
      </c>
      <c r="O270" s="6">
        <v>847</v>
      </c>
      <c r="P270" s="14" t="str">
        <f>HYPERLINK("https://gocharting.com/terminal?ticker=NSE:BHARATRAS&amp;layout=1","click here to view the chart")</f>
        <v>click here to view the chart</v>
      </c>
    </row>
    <row r="271" spans="4:16" x14ac:dyDescent="0.25">
      <c r="D271" s="6" t="s">
        <v>278</v>
      </c>
      <c r="E271" s="6">
        <v>269</v>
      </c>
      <c r="F271" s="6" t="s">
        <v>302</v>
      </c>
      <c r="G271" s="15" t="s">
        <v>22</v>
      </c>
      <c r="H271" s="15" t="s">
        <v>16</v>
      </c>
      <c r="I271" s="17" t="s">
        <v>20</v>
      </c>
      <c r="J271" s="6">
        <v>908</v>
      </c>
      <c r="K271" s="6">
        <v>948.2</v>
      </c>
      <c r="L271" s="6">
        <v>903.8</v>
      </c>
      <c r="M271" s="6">
        <v>944.2</v>
      </c>
      <c r="N271" s="6">
        <v>923.9</v>
      </c>
      <c r="O271" s="6">
        <v>154796</v>
      </c>
      <c r="P271" s="14" t="str">
        <f>HYPERLINK("https://gocharting.com/terminal?ticker=NSE:BIRLACORPN&amp;layout=1","click here to view the chart")</f>
        <v>click here to view the chart</v>
      </c>
    </row>
    <row r="272" spans="4:16" x14ac:dyDescent="0.25">
      <c r="D272" s="6" t="s">
        <v>278</v>
      </c>
      <c r="E272" s="6">
        <v>270</v>
      </c>
      <c r="F272" s="6" t="s">
        <v>303</v>
      </c>
      <c r="G272" s="16" t="s">
        <v>19</v>
      </c>
      <c r="H272" s="16" t="s">
        <v>19</v>
      </c>
      <c r="I272" s="16" t="s">
        <v>17</v>
      </c>
      <c r="J272" s="6">
        <v>73.349999999999994</v>
      </c>
      <c r="K272" s="6">
        <v>73.75</v>
      </c>
      <c r="L272" s="6">
        <v>72.650000000000006</v>
      </c>
      <c r="M272" s="6">
        <v>72.95</v>
      </c>
      <c r="N272" s="6">
        <v>75.55</v>
      </c>
      <c r="O272" s="6">
        <v>66504</v>
      </c>
      <c r="P272" s="14" t="str">
        <f>HYPERLINK("https://gocharting.com/terminal?ticker=NSE:BLISSGVS&amp;layout=1","click here to view the chart")</f>
        <v>click here to view the chart</v>
      </c>
    </row>
    <row r="273" spans="4:16" x14ac:dyDescent="0.25">
      <c r="D273" s="6" t="s">
        <v>278</v>
      </c>
      <c r="E273" s="6">
        <v>271</v>
      </c>
      <c r="F273" s="6" t="s">
        <v>304</v>
      </c>
      <c r="G273" s="16" t="s">
        <v>19</v>
      </c>
      <c r="H273" s="16" t="s">
        <v>19</v>
      </c>
      <c r="I273" s="17" t="s">
        <v>20</v>
      </c>
      <c r="J273" s="6">
        <v>8652.0499999999993</v>
      </c>
      <c r="K273" s="6">
        <v>8719.7000000000007</v>
      </c>
      <c r="L273" s="6">
        <v>8455</v>
      </c>
      <c r="M273" s="6">
        <v>8489.65</v>
      </c>
      <c r="N273" s="6">
        <v>9050</v>
      </c>
      <c r="O273" s="6">
        <v>29164</v>
      </c>
      <c r="P273" s="14" t="str">
        <f>HYPERLINK("https://gocharting.com/terminal?ticker=NSE:BLUEDART&amp;layout=1","click here to view the chart")</f>
        <v>click here to view the chart</v>
      </c>
    </row>
    <row r="274" spans="4:16" x14ac:dyDescent="0.25">
      <c r="D274" s="6" t="s">
        <v>278</v>
      </c>
      <c r="E274" s="6">
        <v>272</v>
      </c>
      <c r="F274" s="6" t="s">
        <v>305</v>
      </c>
      <c r="G274" s="15" t="s">
        <v>25</v>
      </c>
      <c r="H274" s="15" t="s">
        <v>16</v>
      </c>
      <c r="I274" s="17" t="s">
        <v>20</v>
      </c>
      <c r="J274" s="6">
        <v>1201.2</v>
      </c>
      <c r="K274" s="6">
        <v>1221</v>
      </c>
      <c r="L274" s="6">
        <v>1190</v>
      </c>
      <c r="M274" s="6">
        <v>1211.5</v>
      </c>
      <c r="N274" s="6">
        <v>1203</v>
      </c>
      <c r="O274" s="6">
        <v>172155</v>
      </c>
      <c r="P274" s="14" t="str">
        <f>HYPERLINK("https://gocharting.com/terminal?ticker=NSE:BLUESTARCO&amp;layout=1","click here to view the chart")</f>
        <v>click here to view the chart</v>
      </c>
    </row>
    <row r="275" spans="4:16" x14ac:dyDescent="0.25">
      <c r="D275" s="6" t="s">
        <v>278</v>
      </c>
      <c r="E275" s="6">
        <v>273</v>
      </c>
      <c r="F275" s="6" t="s">
        <v>306</v>
      </c>
      <c r="G275" s="16" t="s">
        <v>15</v>
      </c>
      <c r="H275" s="15" t="s">
        <v>16</v>
      </c>
      <c r="I275" s="16" t="s">
        <v>17</v>
      </c>
      <c r="J275" s="6">
        <v>495</v>
      </c>
      <c r="K275" s="6">
        <v>506.9</v>
      </c>
      <c r="L275" s="6">
        <v>493.2</v>
      </c>
      <c r="M275" s="6">
        <v>500.95</v>
      </c>
      <c r="N275" s="6">
        <v>519.79999999999995</v>
      </c>
      <c r="O275" s="6">
        <v>238932</v>
      </c>
      <c r="P275" s="14" t="str">
        <f>HYPERLINK("https://gocharting.com/terminal?ticker=NSE:BRIGADE&amp;layout=1","click here to view the chart")</f>
        <v>click here to view the chart</v>
      </c>
    </row>
    <row r="276" spans="4:16" x14ac:dyDescent="0.25">
      <c r="D276" s="6" t="s">
        <v>278</v>
      </c>
      <c r="E276" s="6">
        <v>274</v>
      </c>
      <c r="F276" s="6" t="s">
        <v>307</v>
      </c>
      <c r="G276" s="16" t="s">
        <v>19</v>
      </c>
      <c r="H276" s="16" t="s">
        <v>19</v>
      </c>
      <c r="I276" s="16" t="s">
        <v>17</v>
      </c>
      <c r="J276" s="6">
        <v>591.6</v>
      </c>
      <c r="K276" s="6">
        <v>598.65</v>
      </c>
      <c r="L276" s="6">
        <v>586.20000000000005</v>
      </c>
      <c r="M276" s="6">
        <v>590</v>
      </c>
      <c r="N276" s="6">
        <v>606.45000000000005</v>
      </c>
      <c r="O276" s="6">
        <v>378137</v>
      </c>
      <c r="P276" s="14" t="str">
        <f>HYPERLINK("https://gocharting.com/terminal?ticker=NSE:BSE&amp;layout=1","click here to view the chart")</f>
        <v>click here to view the chart</v>
      </c>
    </row>
    <row r="277" spans="4:16" x14ac:dyDescent="0.25">
      <c r="D277" s="6" t="s">
        <v>278</v>
      </c>
      <c r="E277" s="6">
        <v>275</v>
      </c>
      <c r="F277" s="6" t="s">
        <v>308</v>
      </c>
      <c r="G277" s="16" t="s">
        <v>19</v>
      </c>
      <c r="H277" s="16" t="s">
        <v>19</v>
      </c>
      <c r="I277" s="16" t="s">
        <v>17</v>
      </c>
      <c r="J277" s="6">
        <v>284.7</v>
      </c>
      <c r="K277" s="6">
        <v>285.89999999999998</v>
      </c>
      <c r="L277" s="6">
        <v>280.14999999999998</v>
      </c>
      <c r="M277" s="6">
        <v>281.39999999999998</v>
      </c>
      <c r="N277" s="6">
        <v>291</v>
      </c>
      <c r="O277" s="6">
        <v>1362739</v>
      </c>
      <c r="P277" s="14" t="str">
        <f>HYPERLINK("https://gocharting.com/terminal?ticker=NSE:BSOFT&amp;layout=1","click here to view the chart")</f>
        <v>click here to view the chart</v>
      </c>
    </row>
    <row r="278" spans="4:16" x14ac:dyDescent="0.25">
      <c r="D278" s="6" t="s">
        <v>278</v>
      </c>
      <c r="E278" s="6">
        <v>276</v>
      </c>
      <c r="F278" s="6" t="s">
        <v>309</v>
      </c>
      <c r="G278" s="16" t="s">
        <v>199</v>
      </c>
      <c r="H278" s="16" t="s">
        <v>19</v>
      </c>
      <c r="I278" s="16" t="s">
        <v>17</v>
      </c>
      <c r="J278" s="6">
        <v>131.44999999999999</v>
      </c>
      <c r="K278" s="6">
        <v>133.30000000000001</v>
      </c>
      <c r="L278" s="6">
        <v>129.30000000000001</v>
      </c>
      <c r="M278" s="6">
        <v>130.25</v>
      </c>
      <c r="N278" s="6">
        <v>139.25</v>
      </c>
      <c r="O278" s="6">
        <v>1348191</v>
      </c>
      <c r="P278" s="14" t="str">
        <f>HYPERLINK("https://gocharting.com/terminal?ticker=NSE:BURGERKING&amp;layout=1","click here to view the chart")</f>
        <v>click here to view the chart</v>
      </c>
    </row>
    <row r="279" spans="4:16" x14ac:dyDescent="0.25">
      <c r="D279" s="6" t="s">
        <v>278</v>
      </c>
      <c r="E279" s="6">
        <v>277</v>
      </c>
      <c r="F279" s="6" t="s">
        <v>310</v>
      </c>
      <c r="G279" s="16" t="s">
        <v>19</v>
      </c>
      <c r="H279" s="16" t="s">
        <v>19</v>
      </c>
      <c r="I279" s="16" t="s">
        <v>17</v>
      </c>
      <c r="J279" s="6">
        <v>2604</v>
      </c>
      <c r="K279" s="6">
        <v>2655</v>
      </c>
      <c r="L279" s="6">
        <v>2580.15</v>
      </c>
      <c r="M279" s="6">
        <v>2593.65</v>
      </c>
      <c r="N279" s="6">
        <v>2690</v>
      </c>
      <c r="O279" s="6">
        <v>122286</v>
      </c>
      <c r="P279" s="14" t="str">
        <f>HYPERLINK("https://gocharting.com/terminal?ticker=NSE:CAMS&amp;layout=1","click here to view the chart")</f>
        <v>click here to view the chart</v>
      </c>
    </row>
    <row r="280" spans="4:16" x14ac:dyDescent="0.25">
      <c r="D280" s="6" t="s">
        <v>278</v>
      </c>
      <c r="E280" s="6">
        <v>278</v>
      </c>
      <c r="F280" s="6" t="s">
        <v>311</v>
      </c>
      <c r="G280" s="15" t="s">
        <v>22</v>
      </c>
      <c r="H280" s="15" t="s">
        <v>16</v>
      </c>
      <c r="I280" s="15" t="s">
        <v>23</v>
      </c>
      <c r="J280" s="6">
        <v>496</v>
      </c>
      <c r="K280" s="6">
        <v>526</v>
      </c>
      <c r="L280" s="6">
        <v>496</v>
      </c>
      <c r="M280" s="6">
        <v>524.29999999999995</v>
      </c>
      <c r="N280" s="6">
        <v>522.85</v>
      </c>
      <c r="O280" s="6">
        <v>4010695</v>
      </c>
      <c r="P280" s="14" t="str">
        <f>HYPERLINK("https://gocharting.com/terminal?ticker=NSE:CANFINHOME&amp;layout=1","click here to view the chart")</f>
        <v>click here to view the chart</v>
      </c>
    </row>
    <row r="281" spans="4:16" x14ac:dyDescent="0.25">
      <c r="D281" s="6" t="s">
        <v>278</v>
      </c>
      <c r="E281" s="6">
        <v>279</v>
      </c>
      <c r="F281" s="6" t="s">
        <v>312</v>
      </c>
      <c r="G281" s="16" t="s">
        <v>15</v>
      </c>
      <c r="H281" s="15" t="s">
        <v>16</v>
      </c>
      <c r="I281" s="15" t="s">
        <v>23</v>
      </c>
      <c r="J281" s="6">
        <v>712.35</v>
      </c>
      <c r="K281" s="6">
        <v>735</v>
      </c>
      <c r="L281" s="6">
        <v>708.05</v>
      </c>
      <c r="M281" s="6">
        <v>718.35</v>
      </c>
      <c r="N281" s="6">
        <v>723</v>
      </c>
      <c r="O281" s="6">
        <v>65412</v>
      </c>
      <c r="P281" s="14" t="str">
        <f>HYPERLINK("https://gocharting.com/terminal?ticker=NSE:CAPLIPOINT&amp;layout=1","click here to view the chart")</f>
        <v>click here to view the chart</v>
      </c>
    </row>
    <row r="282" spans="4:16" x14ac:dyDescent="0.25">
      <c r="D282" s="6" t="s">
        <v>278</v>
      </c>
      <c r="E282" s="6">
        <v>280</v>
      </c>
      <c r="F282" s="6" t="s">
        <v>313</v>
      </c>
      <c r="G282" s="16" t="s">
        <v>19</v>
      </c>
      <c r="H282" s="16" t="s">
        <v>19</v>
      </c>
      <c r="I282" s="17" t="s">
        <v>20</v>
      </c>
      <c r="J282" s="6">
        <v>882</v>
      </c>
      <c r="K282" s="6">
        <v>885</v>
      </c>
      <c r="L282" s="6">
        <v>873.35</v>
      </c>
      <c r="M282" s="6">
        <v>876.5</v>
      </c>
      <c r="N282" s="6">
        <v>896</v>
      </c>
      <c r="O282" s="6">
        <v>115791</v>
      </c>
      <c r="P282" s="14" t="str">
        <f>HYPERLINK("https://gocharting.com/terminal?ticker=NSE:CARBORUNIV&amp;layout=1","click here to view the chart")</f>
        <v>click here to view the chart</v>
      </c>
    </row>
    <row r="283" spans="4:16" x14ac:dyDescent="0.25">
      <c r="D283" s="6" t="s">
        <v>278</v>
      </c>
      <c r="E283" s="6">
        <v>281</v>
      </c>
      <c r="F283" s="6" t="s">
        <v>314</v>
      </c>
      <c r="G283" s="16" t="s">
        <v>19</v>
      </c>
      <c r="H283" s="16" t="s">
        <v>19</v>
      </c>
      <c r="I283" s="17" t="s">
        <v>20</v>
      </c>
      <c r="J283" s="6">
        <v>487.65</v>
      </c>
      <c r="K283" s="6">
        <v>494.25</v>
      </c>
      <c r="L283" s="6">
        <v>473.9</v>
      </c>
      <c r="M283" s="6">
        <v>478.9</v>
      </c>
      <c r="N283" s="6">
        <v>498.2</v>
      </c>
      <c r="O283" s="6">
        <v>133723</v>
      </c>
      <c r="P283" s="14" t="str">
        <f>HYPERLINK("https://gocharting.com/terminal?ticker=NSE:CCL&amp;layout=1","click here to view the chart")</f>
        <v>click here to view the chart</v>
      </c>
    </row>
    <row r="284" spans="4:16" x14ac:dyDescent="0.25">
      <c r="D284" s="6" t="s">
        <v>278</v>
      </c>
      <c r="E284" s="6">
        <v>282</v>
      </c>
      <c r="F284" s="6" t="s">
        <v>315</v>
      </c>
      <c r="G284" s="16" t="s">
        <v>19</v>
      </c>
      <c r="H284" s="16" t="s">
        <v>19</v>
      </c>
      <c r="I284" s="17" t="s">
        <v>20</v>
      </c>
      <c r="J284" s="6">
        <v>1220</v>
      </c>
      <c r="K284" s="6">
        <v>1225</v>
      </c>
      <c r="L284" s="6">
        <v>1208.1500000000001</v>
      </c>
      <c r="M284" s="6">
        <v>1213.8</v>
      </c>
      <c r="N284" s="6">
        <v>1250</v>
      </c>
      <c r="O284" s="6">
        <v>275834</v>
      </c>
      <c r="P284" s="14" t="str">
        <f>HYPERLINK("https://gocharting.com/terminal?ticker=NSE:CDSL&amp;layout=1","click here to view the chart")</f>
        <v>click here to view the chart</v>
      </c>
    </row>
    <row r="285" spans="4:16" x14ac:dyDescent="0.25">
      <c r="D285" s="6" t="s">
        <v>278</v>
      </c>
      <c r="E285" s="6">
        <v>283</v>
      </c>
      <c r="F285" s="6" t="s">
        <v>316</v>
      </c>
      <c r="G285" s="16" t="s">
        <v>19</v>
      </c>
      <c r="H285" s="16" t="s">
        <v>19</v>
      </c>
      <c r="I285" s="16" t="s">
        <v>17</v>
      </c>
      <c r="J285" s="6">
        <v>1502.95</v>
      </c>
      <c r="K285" s="6">
        <v>1512</v>
      </c>
      <c r="L285" s="6">
        <v>1483.15</v>
      </c>
      <c r="M285" s="6">
        <v>1492.55</v>
      </c>
      <c r="N285" s="6">
        <v>1564.6</v>
      </c>
      <c r="O285" s="6">
        <v>90862</v>
      </c>
      <c r="P285" s="14" t="str">
        <f>HYPERLINK("https://gocharting.com/terminal?ticker=NSE:CEATLTD&amp;layout=1","click here to view the chart")</f>
        <v>click here to view the chart</v>
      </c>
    </row>
    <row r="286" spans="4:16" x14ac:dyDescent="0.25">
      <c r="D286" s="6" t="s">
        <v>278</v>
      </c>
      <c r="E286" s="6">
        <v>284</v>
      </c>
      <c r="F286" s="6" t="s">
        <v>317</v>
      </c>
      <c r="G286" s="16" t="s">
        <v>15</v>
      </c>
      <c r="H286" s="15" t="s">
        <v>16</v>
      </c>
      <c r="I286" s="17" t="s">
        <v>20</v>
      </c>
      <c r="J286" s="6">
        <v>19.600000000000001</v>
      </c>
      <c r="K286" s="6">
        <v>20.05</v>
      </c>
      <c r="L286" s="6">
        <v>19.5</v>
      </c>
      <c r="M286" s="6">
        <v>19.75</v>
      </c>
      <c r="N286" s="6">
        <v>19.850000000000001</v>
      </c>
      <c r="O286" s="6">
        <v>3975749</v>
      </c>
      <c r="P286" s="14" t="str">
        <f>HYPERLINK("https://gocharting.com/terminal?ticker=NSE:CENTRALBK&amp;layout=1","click here to view the chart")</f>
        <v>click here to view the chart</v>
      </c>
    </row>
    <row r="287" spans="4:16" x14ac:dyDescent="0.25">
      <c r="D287" s="6" t="s">
        <v>278</v>
      </c>
      <c r="E287" s="6">
        <v>285</v>
      </c>
      <c r="F287" s="6" t="s">
        <v>318</v>
      </c>
      <c r="G287" s="16" t="s">
        <v>15</v>
      </c>
      <c r="H287" s="15" t="s">
        <v>16</v>
      </c>
      <c r="I287" s="16" t="s">
        <v>17</v>
      </c>
      <c r="J287" s="6">
        <v>619.29999999999995</v>
      </c>
      <c r="K287" s="6">
        <v>625</v>
      </c>
      <c r="L287" s="6">
        <v>608.04999999999995</v>
      </c>
      <c r="M287" s="6">
        <v>622.45000000000005</v>
      </c>
      <c r="N287" s="6">
        <v>632</v>
      </c>
      <c r="O287" s="6">
        <v>111365</v>
      </c>
      <c r="P287" s="14" t="str">
        <f>HYPERLINK("https://gocharting.com/terminal?ticker=NSE:CENTURYPLY&amp;layout=1","click here to view the chart")</f>
        <v>click here to view the chart</v>
      </c>
    </row>
    <row r="288" spans="4:16" x14ac:dyDescent="0.25">
      <c r="D288" s="6" t="s">
        <v>278</v>
      </c>
      <c r="E288" s="6">
        <v>286</v>
      </c>
      <c r="F288" s="6" t="s">
        <v>319</v>
      </c>
      <c r="G288" s="16" t="s">
        <v>19</v>
      </c>
      <c r="H288" s="16" t="s">
        <v>19</v>
      </c>
      <c r="I288" s="16" t="s">
        <v>17</v>
      </c>
      <c r="J288" s="6">
        <v>822.1</v>
      </c>
      <c r="K288" s="6">
        <v>829.05</v>
      </c>
      <c r="L288" s="6">
        <v>815</v>
      </c>
      <c r="M288" s="6">
        <v>817.55</v>
      </c>
      <c r="N288" s="6">
        <v>849.9</v>
      </c>
      <c r="O288" s="6">
        <v>54638</v>
      </c>
      <c r="P288" s="14" t="str">
        <f>HYPERLINK("https://gocharting.com/terminal?ticker=NSE:CENTURYTEX&amp;layout=1","click here to view the chart")</f>
        <v>click here to view the chart</v>
      </c>
    </row>
    <row r="289" spans="4:16" x14ac:dyDescent="0.25">
      <c r="D289" s="6" t="s">
        <v>278</v>
      </c>
      <c r="E289" s="6">
        <v>287</v>
      </c>
      <c r="F289" s="6" t="s">
        <v>320</v>
      </c>
      <c r="G289" s="16" t="s">
        <v>19</v>
      </c>
      <c r="H289" s="16" t="s">
        <v>19</v>
      </c>
      <c r="I289" s="16" t="s">
        <v>17</v>
      </c>
      <c r="J289" s="6">
        <v>5549.25</v>
      </c>
      <c r="K289" s="6">
        <v>5550.65</v>
      </c>
      <c r="L289" s="6">
        <v>5436.5</v>
      </c>
      <c r="M289" s="6">
        <v>5446.9</v>
      </c>
      <c r="N289" s="6">
        <v>5584.95</v>
      </c>
      <c r="O289" s="6">
        <v>8537</v>
      </c>
      <c r="P289" s="14" t="str">
        <f>HYPERLINK("https://gocharting.com/terminal?ticker=NSE:CERA&amp;layout=1","click here to view the chart")</f>
        <v>click here to view the chart</v>
      </c>
    </row>
    <row r="290" spans="4:16" x14ac:dyDescent="0.25">
      <c r="D290" s="6" t="s">
        <v>278</v>
      </c>
      <c r="E290" s="6">
        <v>288</v>
      </c>
      <c r="F290" s="6" t="s">
        <v>321</v>
      </c>
      <c r="G290" s="16" t="s">
        <v>19</v>
      </c>
      <c r="H290" s="16" t="s">
        <v>19</v>
      </c>
      <c r="I290" s="17" t="s">
        <v>20</v>
      </c>
      <c r="J290" s="6">
        <v>733.65</v>
      </c>
      <c r="K290" s="6">
        <v>743.8</v>
      </c>
      <c r="L290" s="6">
        <v>726</v>
      </c>
      <c r="M290" s="6">
        <v>731</v>
      </c>
      <c r="N290" s="6">
        <v>740.05</v>
      </c>
      <c r="O290" s="6">
        <v>298074</v>
      </c>
      <c r="P290" s="14" t="str">
        <f>HYPERLINK("https://gocharting.com/terminal?ticker=NSE:CGCL&amp;layout=1","click here to view the chart")</f>
        <v>click here to view the chart</v>
      </c>
    </row>
    <row r="291" spans="4:16" x14ac:dyDescent="0.25">
      <c r="D291" s="6" t="s">
        <v>278</v>
      </c>
      <c r="E291" s="6">
        <v>289</v>
      </c>
      <c r="F291" s="6" t="s">
        <v>322</v>
      </c>
      <c r="G291" s="16" t="s">
        <v>15</v>
      </c>
      <c r="H291" s="15" t="s">
        <v>16</v>
      </c>
      <c r="I291" s="16" t="s">
        <v>17</v>
      </c>
      <c r="J291" s="6">
        <v>389</v>
      </c>
      <c r="K291" s="6">
        <v>399.5</v>
      </c>
      <c r="L291" s="6">
        <v>388.05</v>
      </c>
      <c r="M291" s="6">
        <v>397.65</v>
      </c>
      <c r="N291" s="6">
        <v>401.5</v>
      </c>
      <c r="O291" s="6">
        <v>115848</v>
      </c>
      <c r="P291" s="14" t="str">
        <f>HYPERLINK("https://gocharting.com/terminal?ticker=NSE:CHALET&amp;layout=1","click here to view the chart")</f>
        <v>click here to view the chart</v>
      </c>
    </row>
    <row r="292" spans="4:16" x14ac:dyDescent="0.25">
      <c r="D292" s="6" t="s">
        <v>278</v>
      </c>
      <c r="E292" s="6">
        <v>290</v>
      </c>
      <c r="F292" s="6" t="s">
        <v>323</v>
      </c>
      <c r="G292" s="16" t="s">
        <v>15</v>
      </c>
      <c r="H292" s="15" t="s">
        <v>16</v>
      </c>
      <c r="I292" s="17" t="s">
        <v>20</v>
      </c>
      <c r="J292" s="6">
        <v>328</v>
      </c>
      <c r="K292" s="6">
        <v>332.45</v>
      </c>
      <c r="L292" s="6">
        <v>324</v>
      </c>
      <c r="M292" s="6">
        <v>328.95</v>
      </c>
      <c r="N292" s="6">
        <v>329.95</v>
      </c>
      <c r="O292" s="6">
        <v>1562952</v>
      </c>
      <c r="P292" s="14" t="str">
        <f>HYPERLINK("https://gocharting.com/terminal?ticker=NSE:CHAMBLFERT&amp;layout=1","click here to view the chart")</f>
        <v>click here to view the chart</v>
      </c>
    </row>
    <row r="293" spans="4:16" x14ac:dyDescent="0.25">
      <c r="D293" s="6" t="s">
        <v>278</v>
      </c>
      <c r="E293" s="6">
        <v>291</v>
      </c>
      <c r="F293" s="6" t="s">
        <v>324</v>
      </c>
      <c r="G293" s="16" t="s">
        <v>19</v>
      </c>
      <c r="H293" s="16" t="s">
        <v>19</v>
      </c>
      <c r="I293" s="16" t="s">
        <v>17</v>
      </c>
      <c r="J293" s="6">
        <v>528.20000000000005</v>
      </c>
      <c r="K293" s="6">
        <v>533.45000000000005</v>
      </c>
      <c r="L293" s="6">
        <v>511.1</v>
      </c>
      <c r="M293" s="6">
        <v>515.5</v>
      </c>
      <c r="N293" s="6">
        <v>558.75</v>
      </c>
      <c r="O293" s="6">
        <v>1487328</v>
      </c>
      <c r="P293" s="14" t="str">
        <f>HYPERLINK("https://gocharting.com/terminal?ticker=NSE:COCHINSHIP&amp;layout=1","click here to view the chart")</f>
        <v>click here to view the chart</v>
      </c>
    </row>
    <row r="294" spans="4:16" x14ac:dyDescent="0.25">
      <c r="D294" s="6" t="s">
        <v>278</v>
      </c>
      <c r="E294" s="6">
        <v>292</v>
      </c>
      <c r="F294" s="6" t="s">
        <v>325</v>
      </c>
      <c r="G294" s="15" t="s">
        <v>25</v>
      </c>
      <c r="H294" s="15" t="s">
        <v>16</v>
      </c>
      <c r="I294" s="16" t="s">
        <v>17</v>
      </c>
      <c r="J294" s="6">
        <v>248.55</v>
      </c>
      <c r="K294" s="6">
        <v>255</v>
      </c>
      <c r="L294" s="6">
        <v>247.4</v>
      </c>
      <c r="M294" s="6">
        <v>250.85</v>
      </c>
      <c r="N294" s="6">
        <v>249.95</v>
      </c>
      <c r="O294" s="6">
        <v>341420</v>
      </c>
      <c r="P294" s="14" t="str">
        <f>HYPERLINK("https://gocharting.com/terminal?ticker=NSE:CSBBANK&amp;layout=1","click here to view the chart")</f>
        <v>click here to view the chart</v>
      </c>
    </row>
    <row r="295" spans="4:16" x14ac:dyDescent="0.25">
      <c r="D295" s="6" t="s">
        <v>278</v>
      </c>
      <c r="E295" s="6">
        <v>293</v>
      </c>
      <c r="F295" s="6" t="s">
        <v>326</v>
      </c>
      <c r="G295" s="16" t="s">
        <v>19</v>
      </c>
      <c r="H295" s="16" t="s">
        <v>19</v>
      </c>
      <c r="I295" s="17" t="s">
        <v>20</v>
      </c>
      <c r="J295" s="6">
        <v>762.55</v>
      </c>
      <c r="K295" s="6">
        <v>770</v>
      </c>
      <c r="L295" s="6">
        <v>753.35</v>
      </c>
      <c r="M295" s="6">
        <v>762.1</v>
      </c>
      <c r="N295" s="6">
        <v>786.8</v>
      </c>
      <c r="O295" s="6">
        <v>293858</v>
      </c>
      <c r="P295" s="14" t="str">
        <f>HYPERLINK("https://gocharting.com/terminal?ticker=NSE:CYIENT&amp;layout=1","click here to view the chart")</f>
        <v>click here to view the chart</v>
      </c>
    </row>
    <row r="296" spans="4:16" x14ac:dyDescent="0.25">
      <c r="D296" s="6" t="s">
        <v>278</v>
      </c>
      <c r="E296" s="6">
        <v>294</v>
      </c>
      <c r="F296" s="6" t="s">
        <v>327</v>
      </c>
      <c r="G296" s="16" t="s">
        <v>19</v>
      </c>
      <c r="H296" s="16" t="s">
        <v>19</v>
      </c>
      <c r="I296" s="16" t="s">
        <v>17</v>
      </c>
      <c r="J296" s="6">
        <v>222</v>
      </c>
      <c r="K296" s="6">
        <v>224.4</v>
      </c>
      <c r="L296" s="6">
        <v>218.55</v>
      </c>
      <c r="M296" s="6">
        <v>219.7</v>
      </c>
      <c r="N296" s="6">
        <v>225.25</v>
      </c>
      <c r="O296" s="6">
        <v>185857</v>
      </c>
      <c r="P296" s="14" t="str">
        <f>HYPERLINK("https://gocharting.com/terminal?ticker=NSE:DBL&amp;layout=1","click here to view the chart")</f>
        <v>click here to view the chart</v>
      </c>
    </row>
    <row r="297" spans="4:16" x14ac:dyDescent="0.25">
      <c r="D297" s="6" t="s">
        <v>278</v>
      </c>
      <c r="E297" s="6">
        <v>295</v>
      </c>
      <c r="F297" s="6" t="s">
        <v>328</v>
      </c>
      <c r="G297" s="16" t="s">
        <v>15</v>
      </c>
      <c r="H297" s="15" t="s">
        <v>16</v>
      </c>
      <c r="I297" s="16" t="s">
        <v>17</v>
      </c>
      <c r="J297" s="6">
        <v>101.5</v>
      </c>
      <c r="K297" s="6">
        <v>104.2</v>
      </c>
      <c r="L297" s="6">
        <v>100.8</v>
      </c>
      <c r="M297" s="6">
        <v>102.7</v>
      </c>
      <c r="N297" s="6">
        <v>109.7</v>
      </c>
      <c r="O297" s="6">
        <v>192632</v>
      </c>
      <c r="P297" s="14" t="str">
        <f>HYPERLINK("https://gocharting.com/terminal?ticker=NSE:DCAL&amp;layout=1","click here to view the chart")</f>
        <v>click here to view the chart</v>
      </c>
    </row>
    <row r="298" spans="4:16" x14ac:dyDescent="0.25">
      <c r="D298" s="6" t="s">
        <v>278</v>
      </c>
      <c r="E298" s="6">
        <v>296</v>
      </c>
      <c r="F298" s="6" t="s">
        <v>329</v>
      </c>
      <c r="G298" s="16" t="s">
        <v>15</v>
      </c>
      <c r="H298" s="15" t="s">
        <v>16</v>
      </c>
      <c r="I298" s="15" t="s">
        <v>23</v>
      </c>
      <c r="J298" s="6">
        <v>97</v>
      </c>
      <c r="K298" s="6">
        <v>106.3</v>
      </c>
      <c r="L298" s="6">
        <v>96.9</v>
      </c>
      <c r="M298" s="6">
        <v>101.95</v>
      </c>
      <c r="N298" s="6">
        <v>102.9</v>
      </c>
      <c r="O298" s="6">
        <v>6512406</v>
      </c>
      <c r="P298" s="14" t="str">
        <f>HYPERLINK("https://gocharting.com/terminal?ticker=NSE:DCBBANK&amp;layout=1","click here to view the chart")</f>
        <v>click here to view the chart</v>
      </c>
    </row>
    <row r="299" spans="4:16" x14ac:dyDescent="0.25">
      <c r="D299" s="6" t="s">
        <v>278</v>
      </c>
      <c r="E299" s="6">
        <v>297</v>
      </c>
      <c r="F299" s="6" t="s">
        <v>330</v>
      </c>
      <c r="G299" s="15" t="s">
        <v>25</v>
      </c>
      <c r="H299" s="15" t="s">
        <v>16</v>
      </c>
      <c r="I299" s="17" t="s">
        <v>20</v>
      </c>
      <c r="J299" s="6">
        <v>1076.6500000000001</v>
      </c>
      <c r="K299" s="6">
        <v>1105.45</v>
      </c>
      <c r="L299" s="6">
        <v>1062.25</v>
      </c>
      <c r="M299" s="6">
        <v>1093.05</v>
      </c>
      <c r="N299" s="6">
        <v>1087.5</v>
      </c>
      <c r="O299" s="6">
        <v>104387</v>
      </c>
      <c r="P299" s="14" t="str">
        <f>HYPERLINK("https://gocharting.com/terminal?ticker=NSE:DCMSHRIRAM&amp;layout=1","click here to view the chart")</f>
        <v>click here to view the chart</v>
      </c>
    </row>
    <row r="300" spans="4:16" x14ac:dyDescent="0.25">
      <c r="D300" s="6" t="s">
        <v>278</v>
      </c>
      <c r="E300" s="6">
        <v>298</v>
      </c>
      <c r="F300" s="6" t="s">
        <v>331</v>
      </c>
      <c r="G300" s="16" t="s">
        <v>19</v>
      </c>
      <c r="H300" s="16" t="s">
        <v>19</v>
      </c>
      <c r="I300" s="16" t="s">
        <v>17</v>
      </c>
      <c r="J300" s="6">
        <v>217.9</v>
      </c>
      <c r="K300" s="6">
        <v>217.9</v>
      </c>
      <c r="L300" s="6">
        <v>214.4</v>
      </c>
      <c r="M300" s="6">
        <v>215.65</v>
      </c>
      <c r="N300" s="6">
        <v>223.8</v>
      </c>
      <c r="O300" s="6">
        <v>1983493</v>
      </c>
      <c r="P300" s="14" t="str">
        <f>HYPERLINK("https://gocharting.com/terminal?ticker=NSE:DELTACORP&amp;layout=1","click here to view the chart")</f>
        <v>click here to view the chart</v>
      </c>
    </row>
    <row r="301" spans="4:16" x14ac:dyDescent="0.25">
      <c r="D301" s="6" t="s">
        <v>278</v>
      </c>
      <c r="E301" s="6">
        <v>299</v>
      </c>
      <c r="F301" s="6" t="s">
        <v>332</v>
      </c>
      <c r="G301" s="16" t="s">
        <v>19</v>
      </c>
      <c r="H301" s="16" t="s">
        <v>19</v>
      </c>
      <c r="I301" s="16" t="s">
        <v>17</v>
      </c>
      <c r="J301" s="6">
        <v>670.05</v>
      </c>
      <c r="K301" s="6">
        <v>675</v>
      </c>
      <c r="L301" s="6">
        <v>665.75</v>
      </c>
      <c r="M301" s="6">
        <v>669.5</v>
      </c>
      <c r="N301" s="6">
        <v>691.55</v>
      </c>
      <c r="O301" s="6">
        <v>8678</v>
      </c>
      <c r="P301" s="14" t="str">
        <f>HYPERLINK("https://gocharting.com/terminal?ticker=NSE:DHANUKA&amp;layout=1","click here to view the chart")</f>
        <v>click here to view the chart</v>
      </c>
    </row>
    <row r="302" spans="4:16" x14ac:dyDescent="0.25">
      <c r="D302" s="6" t="s">
        <v>278</v>
      </c>
      <c r="E302" s="6">
        <v>300</v>
      </c>
      <c r="F302" s="6" t="s">
        <v>333</v>
      </c>
      <c r="G302" s="16" t="s">
        <v>19</v>
      </c>
      <c r="H302" s="16" t="s">
        <v>19</v>
      </c>
      <c r="I302" s="16" t="s">
        <v>17</v>
      </c>
      <c r="J302" s="6">
        <v>17.25</v>
      </c>
      <c r="K302" s="6">
        <v>17.649999999999999</v>
      </c>
      <c r="L302" s="6">
        <v>17.100000000000001</v>
      </c>
      <c r="M302" s="6">
        <v>17.2</v>
      </c>
      <c r="N302" s="6">
        <v>17.600000000000001</v>
      </c>
      <c r="O302" s="6">
        <v>17078387</v>
      </c>
      <c r="P302" s="14" t="str">
        <f>HYPERLINK("https://gocharting.com/terminal?ticker=NSE:DISHTV&amp;layout=1","click here to view the chart")</f>
        <v>click here to view the chart</v>
      </c>
    </row>
    <row r="303" spans="4:16" x14ac:dyDescent="0.25">
      <c r="D303" s="6" t="s">
        <v>278</v>
      </c>
      <c r="E303" s="6">
        <v>301</v>
      </c>
      <c r="F303" s="6" t="s">
        <v>334</v>
      </c>
      <c r="G303" s="16" t="s">
        <v>19</v>
      </c>
      <c r="H303" s="16" t="s">
        <v>19</v>
      </c>
      <c r="I303" s="16" t="s">
        <v>17</v>
      </c>
      <c r="J303" s="6">
        <v>1313</v>
      </c>
      <c r="K303" s="6">
        <v>1330</v>
      </c>
      <c r="L303" s="6">
        <v>1301</v>
      </c>
      <c r="M303" s="6">
        <v>1312.4</v>
      </c>
      <c r="N303" s="6">
        <v>1377.7</v>
      </c>
      <c r="O303" s="6">
        <v>20329</v>
      </c>
      <c r="P303" s="14" t="str">
        <f>HYPERLINK("https://gocharting.com/terminal?ticker=NSE:ECLERX&amp;layout=1","click here to view the chart")</f>
        <v>click here to view the chart</v>
      </c>
    </row>
    <row r="304" spans="4:16" x14ac:dyDescent="0.25">
      <c r="D304" s="6" t="s">
        <v>278</v>
      </c>
      <c r="E304" s="6">
        <v>302</v>
      </c>
      <c r="F304" s="6" t="s">
        <v>335</v>
      </c>
      <c r="G304" s="16" t="s">
        <v>19</v>
      </c>
      <c r="H304" s="16" t="s">
        <v>19</v>
      </c>
      <c r="I304" s="17" t="s">
        <v>20</v>
      </c>
      <c r="J304" s="6">
        <v>61.35</v>
      </c>
      <c r="K304" s="6">
        <v>61.5</v>
      </c>
      <c r="L304" s="6">
        <v>59.15</v>
      </c>
      <c r="M304" s="6">
        <v>59.5</v>
      </c>
      <c r="N304" s="6">
        <v>63.1</v>
      </c>
      <c r="O304" s="6">
        <v>1318186</v>
      </c>
      <c r="P304" s="14" t="str">
        <f>HYPERLINK("https://gocharting.com/terminal?ticker=NSE:EDELWEISS&amp;layout=1","click here to view the chart")</f>
        <v>click here to view the chart</v>
      </c>
    </row>
    <row r="305" spans="4:16" x14ac:dyDescent="0.25">
      <c r="D305" s="6" t="s">
        <v>278</v>
      </c>
      <c r="E305" s="6">
        <v>303</v>
      </c>
      <c r="F305" s="6" t="s">
        <v>336</v>
      </c>
      <c r="G305" s="16" t="s">
        <v>19</v>
      </c>
      <c r="H305" s="16" t="s">
        <v>19</v>
      </c>
      <c r="I305" s="16" t="s">
        <v>17</v>
      </c>
      <c r="J305" s="6">
        <v>618.70000000000005</v>
      </c>
      <c r="K305" s="6">
        <v>624</v>
      </c>
      <c r="L305" s="6">
        <v>605.04999999999995</v>
      </c>
      <c r="M305" s="6">
        <v>613.6</v>
      </c>
      <c r="N305" s="6">
        <v>622.65</v>
      </c>
      <c r="O305" s="6">
        <v>338695</v>
      </c>
      <c r="P305" s="14" t="str">
        <f>HYPERLINK("https://gocharting.com/terminal?ticker=NSE:EIDPARRY&amp;layout=1","click here to view the chart")</f>
        <v>click here to view the chart</v>
      </c>
    </row>
    <row r="306" spans="4:16" x14ac:dyDescent="0.25">
      <c r="D306" s="6" t="s">
        <v>278</v>
      </c>
      <c r="E306" s="6">
        <v>304</v>
      </c>
      <c r="F306" s="6" t="s">
        <v>337</v>
      </c>
      <c r="G306" s="16" t="s">
        <v>15</v>
      </c>
      <c r="H306" s="15" t="s">
        <v>16</v>
      </c>
      <c r="I306" s="17" t="s">
        <v>20</v>
      </c>
      <c r="J306" s="6">
        <v>186</v>
      </c>
      <c r="K306" s="6">
        <v>188.7</v>
      </c>
      <c r="L306" s="6">
        <v>184.55</v>
      </c>
      <c r="M306" s="6">
        <v>187.8</v>
      </c>
      <c r="N306" s="6">
        <v>187.95</v>
      </c>
      <c r="O306" s="6">
        <v>648113</v>
      </c>
      <c r="P306" s="14" t="str">
        <f>HYPERLINK("https://gocharting.com/terminal?ticker=NSE:EIHOTEL&amp;layout=1","click here to view the chart")</f>
        <v>click here to view the chart</v>
      </c>
    </row>
    <row r="307" spans="4:16" x14ac:dyDescent="0.25">
      <c r="D307" s="6" t="s">
        <v>278</v>
      </c>
      <c r="E307" s="6">
        <v>305</v>
      </c>
      <c r="F307" s="6" t="s">
        <v>338</v>
      </c>
      <c r="G307" s="16" t="s">
        <v>15</v>
      </c>
      <c r="H307" s="15" t="s">
        <v>16</v>
      </c>
      <c r="I307" s="16" t="s">
        <v>17</v>
      </c>
      <c r="J307" s="6">
        <v>432.3</v>
      </c>
      <c r="K307" s="6">
        <v>439.9</v>
      </c>
      <c r="L307" s="6">
        <v>429.1</v>
      </c>
      <c r="M307" s="6">
        <v>436.3</v>
      </c>
      <c r="N307" s="6">
        <v>451.5</v>
      </c>
      <c r="O307" s="6">
        <v>368237</v>
      </c>
      <c r="P307" s="14" t="str">
        <f>HYPERLINK("https://gocharting.com/terminal?ticker=NSE:ELGIEQUIP&amp;layout=1","click here to view the chart")</f>
        <v>click here to view the chart</v>
      </c>
    </row>
    <row r="308" spans="4:16" x14ac:dyDescent="0.25">
      <c r="D308" s="6" t="s">
        <v>278</v>
      </c>
      <c r="E308" s="6">
        <v>306</v>
      </c>
      <c r="F308" s="6" t="s">
        <v>339</v>
      </c>
      <c r="G308" s="15" t="s">
        <v>25</v>
      </c>
      <c r="H308" s="15" t="s">
        <v>16</v>
      </c>
      <c r="I308" s="17" t="s">
        <v>20</v>
      </c>
      <c r="J308" s="6">
        <v>63.25</v>
      </c>
      <c r="K308" s="6">
        <v>65.3</v>
      </c>
      <c r="L308" s="6">
        <v>63</v>
      </c>
      <c r="M308" s="6">
        <v>64.650000000000006</v>
      </c>
      <c r="N308" s="6">
        <v>64</v>
      </c>
      <c r="O308" s="6">
        <v>951093</v>
      </c>
      <c r="P308" s="14" t="str">
        <f>HYPERLINK("https://gocharting.com/terminal?ticker=NSE:ENGINERSIN&amp;layout=1","click here to view the chart")</f>
        <v>click here to view the chart</v>
      </c>
    </row>
    <row r="309" spans="4:16" x14ac:dyDescent="0.25">
      <c r="D309" s="6" t="s">
        <v>278</v>
      </c>
      <c r="E309" s="6">
        <v>307</v>
      </c>
      <c r="F309" s="6" t="s">
        <v>340</v>
      </c>
      <c r="G309" s="16" t="s">
        <v>19</v>
      </c>
      <c r="H309" s="16" t="s">
        <v>19</v>
      </c>
      <c r="I309" s="16" t="s">
        <v>17</v>
      </c>
      <c r="J309" s="6">
        <v>157.9</v>
      </c>
      <c r="K309" s="6">
        <v>159.80000000000001</v>
      </c>
      <c r="L309" s="6">
        <v>155.55000000000001</v>
      </c>
      <c r="M309" s="6">
        <v>157.6</v>
      </c>
      <c r="N309" s="6">
        <v>161.69999999999999</v>
      </c>
      <c r="O309" s="6">
        <v>96286</v>
      </c>
      <c r="P309" s="14" t="str">
        <f>HYPERLINK("https://gocharting.com/terminal?ticker=NSE:EPL&amp;layout=1","click here to view the chart")</f>
        <v>click here to view the chart</v>
      </c>
    </row>
    <row r="310" spans="4:16" x14ac:dyDescent="0.25">
      <c r="D310" s="6" t="s">
        <v>278</v>
      </c>
      <c r="E310" s="6">
        <v>308</v>
      </c>
      <c r="F310" s="6" t="s">
        <v>341</v>
      </c>
      <c r="G310" s="16" t="s">
        <v>19</v>
      </c>
      <c r="H310" s="16" t="s">
        <v>19</v>
      </c>
      <c r="I310" s="17" t="s">
        <v>20</v>
      </c>
      <c r="J310" s="6">
        <v>100.15</v>
      </c>
      <c r="K310" s="6">
        <v>100.15</v>
      </c>
      <c r="L310" s="6">
        <v>98.3</v>
      </c>
      <c r="M310" s="6">
        <v>99.65</v>
      </c>
      <c r="N310" s="6">
        <v>101.7</v>
      </c>
      <c r="O310" s="6">
        <v>657814</v>
      </c>
      <c r="P310" s="14" t="str">
        <f>HYPERLINK("https://gocharting.com/terminal?ticker=NSE:EQUITAS&amp;layout=1","click here to view the chart")</f>
        <v>click here to view the chart</v>
      </c>
    </row>
    <row r="311" spans="4:16" x14ac:dyDescent="0.25">
      <c r="D311" s="6" t="s">
        <v>278</v>
      </c>
      <c r="E311" s="6">
        <v>309</v>
      </c>
      <c r="F311" s="6" t="s">
        <v>342</v>
      </c>
      <c r="G311" s="16" t="s">
        <v>19</v>
      </c>
      <c r="H311" s="16" t="s">
        <v>19</v>
      </c>
      <c r="I311" s="16" t="s">
        <v>17</v>
      </c>
      <c r="J311" s="6">
        <v>743</v>
      </c>
      <c r="K311" s="6">
        <v>745.5</v>
      </c>
      <c r="L311" s="6">
        <v>728.6</v>
      </c>
      <c r="M311" s="6">
        <v>735.15</v>
      </c>
      <c r="N311" s="6">
        <v>748</v>
      </c>
      <c r="O311" s="6">
        <v>41352</v>
      </c>
      <c r="P311" s="14" t="str">
        <f>HYPERLINK("https://gocharting.com/terminal?ticker=NSE:ERIS&amp;layout=1","click here to view the chart")</f>
        <v>click here to view the chart</v>
      </c>
    </row>
    <row r="312" spans="4:16" x14ac:dyDescent="0.25">
      <c r="D312" s="6" t="s">
        <v>278</v>
      </c>
      <c r="E312" s="6">
        <v>310</v>
      </c>
      <c r="F312" s="6" t="s">
        <v>343</v>
      </c>
      <c r="G312" s="15" t="s">
        <v>199</v>
      </c>
      <c r="H312" s="15" t="s">
        <v>16</v>
      </c>
      <c r="I312" s="15" t="s">
        <v>23</v>
      </c>
      <c r="J312" s="6">
        <v>1.75</v>
      </c>
      <c r="K312" s="6">
        <v>1.9</v>
      </c>
      <c r="L312" s="6">
        <v>1.7</v>
      </c>
      <c r="M312" s="6">
        <v>1.9</v>
      </c>
      <c r="N312" s="6">
        <v>1.75</v>
      </c>
      <c r="O312" s="6">
        <v>18311378</v>
      </c>
      <c r="P312" s="14" t="str">
        <f>HYPERLINK("https://gocharting.com/terminal?ticker=NSE:FCONSUMER&amp;layout=1","click here to view the chart")</f>
        <v>click here to view the chart</v>
      </c>
    </row>
    <row r="313" spans="4:16" x14ac:dyDescent="0.25">
      <c r="D313" s="6" t="s">
        <v>278</v>
      </c>
      <c r="E313" s="6">
        <v>311</v>
      </c>
      <c r="F313" s="6" t="s">
        <v>344</v>
      </c>
      <c r="G313" s="16" t="s">
        <v>19</v>
      </c>
      <c r="H313" s="16" t="s">
        <v>19</v>
      </c>
      <c r="I313" s="17" t="s">
        <v>20</v>
      </c>
      <c r="J313" s="6">
        <v>303.5</v>
      </c>
      <c r="K313" s="6">
        <v>305.60000000000002</v>
      </c>
      <c r="L313" s="6">
        <v>293.7</v>
      </c>
      <c r="M313" s="6">
        <v>297.2</v>
      </c>
      <c r="N313" s="6">
        <v>304.89999999999998</v>
      </c>
      <c r="O313" s="6">
        <v>557003</v>
      </c>
      <c r="P313" s="14" t="str">
        <f>HYPERLINK("https://gocharting.com/terminal?ticker=NSE:FDC&amp;layout=1","click here to view the chart")</f>
        <v>click here to view the chart</v>
      </c>
    </row>
    <row r="314" spans="4:16" x14ac:dyDescent="0.25">
      <c r="D314" s="6" t="s">
        <v>278</v>
      </c>
      <c r="E314" s="6">
        <v>312</v>
      </c>
      <c r="F314" s="6" t="s">
        <v>345</v>
      </c>
      <c r="G314" s="16" t="s">
        <v>19</v>
      </c>
      <c r="H314" s="16" t="s">
        <v>19</v>
      </c>
      <c r="I314" s="17" t="s">
        <v>20</v>
      </c>
      <c r="J314" s="6">
        <v>466.8</v>
      </c>
      <c r="K314" s="6">
        <v>466.85</v>
      </c>
      <c r="L314" s="6">
        <v>458.2</v>
      </c>
      <c r="M314" s="6">
        <v>460.2</v>
      </c>
      <c r="N314" s="6">
        <v>470</v>
      </c>
      <c r="O314" s="6">
        <v>178908</v>
      </c>
      <c r="P314" s="14" t="str">
        <f>HYPERLINK("https://gocharting.com/terminal?ticker=NSE:FINCABLES&amp;layout=1","click here to view the chart")</f>
        <v>click here to view the chart</v>
      </c>
    </row>
    <row r="315" spans="4:16" x14ac:dyDescent="0.25">
      <c r="D315" s="6" t="s">
        <v>278</v>
      </c>
      <c r="E315" s="6">
        <v>313</v>
      </c>
      <c r="F315" s="6" t="s">
        <v>346</v>
      </c>
      <c r="G315" s="16" t="s">
        <v>19</v>
      </c>
      <c r="H315" s="16" t="s">
        <v>19</v>
      </c>
      <c r="I315" s="17" t="s">
        <v>20</v>
      </c>
      <c r="J315" s="6">
        <v>7099</v>
      </c>
      <c r="K315" s="6">
        <v>7179</v>
      </c>
      <c r="L315" s="6">
        <v>6855.55</v>
      </c>
      <c r="M315" s="6">
        <v>6906.35</v>
      </c>
      <c r="N315" s="6">
        <v>7321.15</v>
      </c>
      <c r="O315" s="6">
        <v>58696</v>
      </c>
      <c r="P315" s="14" t="str">
        <f>HYPERLINK("https://gocharting.com/terminal?ticker=NSE:FINEORG&amp;layout=1","click here to view the chart")</f>
        <v>click here to view the chart</v>
      </c>
    </row>
    <row r="316" spans="4:16" x14ac:dyDescent="0.25">
      <c r="D316" s="6" t="s">
        <v>278</v>
      </c>
      <c r="E316" s="6">
        <v>314</v>
      </c>
      <c r="F316" s="6" t="s">
        <v>347</v>
      </c>
      <c r="G316" s="16" t="s">
        <v>19</v>
      </c>
      <c r="H316" s="16" t="s">
        <v>19</v>
      </c>
      <c r="I316" s="16" t="s">
        <v>17</v>
      </c>
      <c r="J316" s="6">
        <v>138.05000000000001</v>
      </c>
      <c r="K316" s="6">
        <v>138.5</v>
      </c>
      <c r="L316" s="6">
        <v>136.5</v>
      </c>
      <c r="M316" s="6">
        <v>137.65</v>
      </c>
      <c r="N316" s="6">
        <v>139.25</v>
      </c>
      <c r="O316" s="6">
        <v>242622</v>
      </c>
      <c r="P316" s="14" t="str">
        <f>HYPERLINK("https://gocharting.com/terminal?ticker=NSE:FINPIPE&amp;layout=1","click here to view the chart")</f>
        <v>click here to view the chart</v>
      </c>
    </row>
    <row r="317" spans="4:16" x14ac:dyDescent="0.25">
      <c r="D317" s="6" t="s">
        <v>278</v>
      </c>
      <c r="E317" s="6">
        <v>315</v>
      </c>
      <c r="F317" s="6" t="s">
        <v>348</v>
      </c>
      <c r="G317" s="16" t="s">
        <v>19</v>
      </c>
      <c r="H317" s="16" t="s">
        <v>19</v>
      </c>
      <c r="I317" s="15" t="s">
        <v>23</v>
      </c>
      <c r="J317" s="6">
        <v>3988.5</v>
      </c>
      <c r="K317" s="6">
        <v>4025</v>
      </c>
      <c r="L317" s="6">
        <v>3933</v>
      </c>
      <c r="M317" s="6">
        <v>3984.65</v>
      </c>
      <c r="N317" s="6">
        <v>4127.1000000000004</v>
      </c>
      <c r="O317" s="6">
        <v>293698</v>
      </c>
      <c r="P317" s="14" t="str">
        <f>HYPERLINK("https://gocharting.com/terminal?ticker=NSE:FLUOROCHEM&amp;layout=1","click here to view the chart")</f>
        <v>click here to view the chart</v>
      </c>
    </row>
    <row r="318" spans="4:16" x14ac:dyDescent="0.25">
      <c r="D318" s="6" t="s">
        <v>278</v>
      </c>
      <c r="E318" s="6">
        <v>316</v>
      </c>
      <c r="F318" s="6" t="s">
        <v>349</v>
      </c>
      <c r="G318" s="16" t="s">
        <v>199</v>
      </c>
      <c r="H318" s="16" t="s">
        <v>19</v>
      </c>
      <c r="I318" s="16" t="s">
        <v>17</v>
      </c>
      <c r="J318" s="6">
        <v>48.8</v>
      </c>
      <c r="K318" s="6">
        <v>49.45</v>
      </c>
      <c r="L318" s="6">
        <v>47</v>
      </c>
      <c r="M318" s="6">
        <v>48.2</v>
      </c>
      <c r="N318" s="6">
        <v>51.8</v>
      </c>
      <c r="O318" s="6">
        <v>1352733</v>
      </c>
      <c r="P318" s="14" t="str">
        <f>HYPERLINK("https://gocharting.com/terminal?ticker=NSE:FRETAIL&amp;layout=1","click here to view the chart")</f>
        <v>click here to view the chart</v>
      </c>
    </row>
    <row r="319" spans="4:16" x14ac:dyDescent="0.25">
      <c r="D319" s="6" t="s">
        <v>278</v>
      </c>
      <c r="E319" s="6">
        <v>317</v>
      </c>
      <c r="F319" s="6" t="s">
        <v>350</v>
      </c>
      <c r="G319" s="16" t="s">
        <v>19</v>
      </c>
      <c r="H319" s="16" t="s">
        <v>19</v>
      </c>
      <c r="I319" s="17" t="s">
        <v>20</v>
      </c>
      <c r="J319" s="6">
        <v>105.5</v>
      </c>
      <c r="K319" s="6">
        <v>106.75</v>
      </c>
      <c r="L319" s="6">
        <v>103.2</v>
      </c>
      <c r="M319" s="6">
        <v>103.85</v>
      </c>
      <c r="N319" s="6">
        <v>107.25</v>
      </c>
      <c r="O319" s="6">
        <v>2278908</v>
      </c>
      <c r="P319" s="14" t="str">
        <f>HYPERLINK("https://gocharting.com/terminal?ticker=NSE:FSL&amp;layout=1","click here to view the chart")</f>
        <v>click here to view the chart</v>
      </c>
    </row>
    <row r="320" spans="4:16" x14ac:dyDescent="0.25">
      <c r="D320" s="6" t="s">
        <v>278</v>
      </c>
      <c r="E320" s="6">
        <v>318</v>
      </c>
      <c r="F320" s="6" t="s">
        <v>351</v>
      </c>
      <c r="G320" s="16" t="s">
        <v>15</v>
      </c>
      <c r="H320" s="15" t="s">
        <v>16</v>
      </c>
      <c r="I320" s="17" t="s">
        <v>20</v>
      </c>
      <c r="J320" s="6">
        <v>259</v>
      </c>
      <c r="K320" s="6">
        <v>266.95</v>
      </c>
      <c r="L320" s="6">
        <v>258</v>
      </c>
      <c r="M320" s="6">
        <v>264.55</v>
      </c>
      <c r="N320" s="6">
        <v>269.95</v>
      </c>
      <c r="O320" s="6">
        <v>277534</v>
      </c>
      <c r="P320" s="14" t="str">
        <f>HYPERLINK("https://gocharting.com/terminal?ticker=NSE:GAEL&amp;layout=1","click here to view the chart")</f>
        <v>click here to view the chart</v>
      </c>
    </row>
    <row r="321" spans="4:16" x14ac:dyDescent="0.25">
      <c r="D321" s="6" t="s">
        <v>278</v>
      </c>
      <c r="E321" s="6">
        <v>319</v>
      </c>
      <c r="F321" s="6" t="s">
        <v>352</v>
      </c>
      <c r="G321" s="16" t="s">
        <v>19</v>
      </c>
      <c r="H321" s="16" t="s">
        <v>19</v>
      </c>
      <c r="I321" s="17" t="s">
        <v>20</v>
      </c>
      <c r="J321" s="6">
        <v>2850</v>
      </c>
      <c r="K321" s="6">
        <v>2869.9</v>
      </c>
      <c r="L321" s="6">
        <v>2797.35</v>
      </c>
      <c r="M321" s="6">
        <v>2846.75</v>
      </c>
      <c r="N321" s="6">
        <v>2988.6</v>
      </c>
      <c r="O321" s="6">
        <v>37605</v>
      </c>
      <c r="P321" s="14" t="str">
        <f>HYPERLINK("https://gocharting.com/terminal?ticker=NSE:GALAXYSURF&amp;layout=1","click here to view the chart")</f>
        <v>click here to view the chart</v>
      </c>
    </row>
    <row r="322" spans="4:16" x14ac:dyDescent="0.25">
      <c r="D322" s="6" t="s">
        <v>278</v>
      </c>
      <c r="E322" s="6">
        <v>320</v>
      </c>
      <c r="F322" s="6" t="s">
        <v>353</v>
      </c>
      <c r="G322" s="16" t="s">
        <v>19</v>
      </c>
      <c r="H322" s="16" t="s">
        <v>19</v>
      </c>
      <c r="I322" s="16" t="s">
        <v>17</v>
      </c>
      <c r="J322" s="6">
        <v>3494</v>
      </c>
      <c r="K322" s="6">
        <v>3494</v>
      </c>
      <c r="L322" s="6">
        <v>3450.05</v>
      </c>
      <c r="M322" s="6">
        <v>3482.2</v>
      </c>
      <c r="N322" s="6">
        <v>3550</v>
      </c>
      <c r="O322" s="6">
        <v>6273</v>
      </c>
      <c r="P322" s="14" t="str">
        <f>HYPERLINK("https://gocharting.com/terminal?ticker=NSE:GARFIBRES&amp;layout=1","click here to view the chart")</f>
        <v>click here to view the chart</v>
      </c>
    </row>
    <row r="323" spans="4:16" x14ac:dyDescent="0.25">
      <c r="D323" s="6" t="s">
        <v>278</v>
      </c>
      <c r="E323" s="6">
        <v>321</v>
      </c>
      <c r="F323" s="6" t="s">
        <v>354</v>
      </c>
      <c r="G323" s="16" t="s">
        <v>15</v>
      </c>
      <c r="H323" s="15" t="s">
        <v>16</v>
      </c>
      <c r="I323" s="17" t="s">
        <v>20</v>
      </c>
      <c r="J323" s="6">
        <v>145.19999999999999</v>
      </c>
      <c r="K323" s="6">
        <v>149.69999999999999</v>
      </c>
      <c r="L323" s="6">
        <v>144.30000000000001</v>
      </c>
      <c r="M323" s="6">
        <v>147.75</v>
      </c>
      <c r="N323" s="6">
        <v>150.69999999999999</v>
      </c>
      <c r="O323" s="6">
        <v>94344</v>
      </c>
      <c r="P323" s="14" t="str">
        <f>HYPERLINK("https://gocharting.com/terminal?ticker=NSE:GEPIL&amp;layout=1","click here to view the chart")</f>
        <v>click here to view the chart</v>
      </c>
    </row>
    <row r="324" spans="4:16" x14ac:dyDescent="0.25">
      <c r="D324" s="6" t="s">
        <v>278</v>
      </c>
      <c r="E324" s="6">
        <v>322</v>
      </c>
      <c r="F324" s="6" t="s">
        <v>355</v>
      </c>
      <c r="G324" s="16" t="s">
        <v>19</v>
      </c>
      <c r="H324" s="16" t="s">
        <v>19</v>
      </c>
      <c r="I324" s="17" t="s">
        <v>20</v>
      </c>
      <c r="J324" s="6">
        <v>524</v>
      </c>
      <c r="K324" s="6">
        <v>525</v>
      </c>
      <c r="L324" s="6">
        <v>516.15</v>
      </c>
      <c r="M324" s="6">
        <v>519.85</v>
      </c>
      <c r="N324" s="6">
        <v>531.95000000000005</v>
      </c>
      <c r="O324" s="6">
        <v>327381</v>
      </c>
      <c r="P324" s="14" t="str">
        <f>HYPERLINK("https://gocharting.com/terminal?ticker=NSE:GESHIP&amp;layout=1","click here to view the chart")</f>
        <v>click here to view the chart</v>
      </c>
    </row>
    <row r="325" spans="4:16" x14ac:dyDescent="0.25">
      <c r="D325" s="6" t="s">
        <v>278</v>
      </c>
      <c r="E325" s="6">
        <v>323</v>
      </c>
      <c r="F325" s="6" t="s">
        <v>356</v>
      </c>
      <c r="G325" s="16" t="s">
        <v>19</v>
      </c>
      <c r="H325" s="16" t="s">
        <v>19</v>
      </c>
      <c r="I325" s="16" t="s">
        <v>17</v>
      </c>
      <c r="J325" s="6">
        <v>1850</v>
      </c>
      <c r="K325" s="6">
        <v>1859.9</v>
      </c>
      <c r="L325" s="6">
        <v>1828</v>
      </c>
      <c r="M325" s="6">
        <v>1834.1</v>
      </c>
      <c r="N325" s="6">
        <v>1919.75</v>
      </c>
      <c r="O325" s="6">
        <v>45957</v>
      </c>
      <c r="P325" s="14" t="str">
        <f>HYPERLINK("https://gocharting.com/terminal?ticker=NSE:GMMPFAUDLR&amp;layout=1","click here to view the chart")</f>
        <v>click here to view the chart</v>
      </c>
    </row>
    <row r="326" spans="4:16" x14ac:dyDescent="0.25">
      <c r="D326" s="6" t="s">
        <v>278</v>
      </c>
      <c r="E326" s="6">
        <v>324</v>
      </c>
      <c r="F326" s="6" t="s">
        <v>357</v>
      </c>
      <c r="G326" s="16" t="s">
        <v>19</v>
      </c>
      <c r="H326" s="16" t="s">
        <v>19</v>
      </c>
      <c r="I326" s="16" t="s">
        <v>17</v>
      </c>
      <c r="J326" s="6">
        <v>716.9</v>
      </c>
      <c r="K326" s="6">
        <v>718.95</v>
      </c>
      <c r="L326" s="6">
        <v>705.2</v>
      </c>
      <c r="M326" s="6">
        <v>709.3</v>
      </c>
      <c r="N326" s="6">
        <v>717</v>
      </c>
      <c r="O326" s="6">
        <v>1500867</v>
      </c>
      <c r="P326" s="14" t="str">
        <f>HYPERLINK("https://gocharting.com/terminal?ticker=NSE:GNFC&amp;layout=1","click here to view the chart")</f>
        <v>click here to view the chart</v>
      </c>
    </row>
    <row r="327" spans="4:16" x14ac:dyDescent="0.25">
      <c r="D327" s="6" t="s">
        <v>278</v>
      </c>
      <c r="E327" s="6">
        <v>325</v>
      </c>
      <c r="F327" s="6" t="s">
        <v>358</v>
      </c>
      <c r="G327" s="16" t="s">
        <v>19</v>
      </c>
      <c r="H327" s="16" t="s">
        <v>19</v>
      </c>
      <c r="I327" s="17" t="s">
        <v>20</v>
      </c>
      <c r="J327" s="6">
        <v>1429.5</v>
      </c>
      <c r="K327" s="6">
        <v>1434.85</v>
      </c>
      <c r="L327" s="6">
        <v>1380</v>
      </c>
      <c r="M327" s="6">
        <v>1399.2</v>
      </c>
      <c r="N327" s="6">
        <v>1427</v>
      </c>
      <c r="O327" s="6">
        <v>386252</v>
      </c>
      <c r="P327" s="14" t="str">
        <f>HYPERLINK("https://gocharting.com/terminal?ticker=NSE:GODFRYPHLP&amp;layout=1","click here to view the chart")</f>
        <v>click here to view the chart</v>
      </c>
    </row>
    <row r="328" spans="4:16" x14ac:dyDescent="0.25">
      <c r="D328" s="6" t="s">
        <v>278</v>
      </c>
      <c r="E328" s="6">
        <v>326</v>
      </c>
      <c r="F328" s="6" t="s">
        <v>359</v>
      </c>
      <c r="G328" s="16" t="s">
        <v>15</v>
      </c>
      <c r="H328" s="15" t="s">
        <v>16</v>
      </c>
      <c r="I328" s="16" t="s">
        <v>17</v>
      </c>
      <c r="J328" s="6">
        <v>85.65</v>
      </c>
      <c r="K328" s="6">
        <v>88.4</v>
      </c>
      <c r="L328" s="6">
        <v>85.3</v>
      </c>
      <c r="M328" s="6">
        <v>87.3</v>
      </c>
      <c r="N328" s="6">
        <v>88.9</v>
      </c>
      <c r="O328" s="6">
        <v>644990</v>
      </c>
      <c r="P328" s="14" t="str">
        <f>HYPERLINK("https://gocharting.com/terminal?ticker=NSE:GPPL&amp;layout=1","click here to view the chart")</f>
        <v>click here to view the chart</v>
      </c>
    </row>
    <row r="329" spans="4:16" x14ac:dyDescent="0.25">
      <c r="D329" s="6" t="s">
        <v>278</v>
      </c>
      <c r="E329" s="6">
        <v>327</v>
      </c>
      <c r="F329" s="6" t="s">
        <v>360</v>
      </c>
      <c r="G329" s="16" t="s">
        <v>15</v>
      </c>
      <c r="H329" s="15" t="s">
        <v>16</v>
      </c>
      <c r="I329" s="17" t="s">
        <v>20</v>
      </c>
      <c r="J329" s="6">
        <v>357.6</v>
      </c>
      <c r="K329" s="6">
        <v>369.95</v>
      </c>
      <c r="L329" s="6">
        <v>357.55</v>
      </c>
      <c r="M329" s="6">
        <v>362.45</v>
      </c>
      <c r="N329" s="6">
        <v>372.1</v>
      </c>
      <c r="O329" s="6">
        <v>560302</v>
      </c>
      <c r="P329" s="14" t="str">
        <f>HYPERLINK("https://gocharting.com/terminal?ticker=NSE:GRAPHITE&amp;layout=1","click here to view the chart")</f>
        <v>click here to view the chart</v>
      </c>
    </row>
    <row r="330" spans="4:16" x14ac:dyDescent="0.25">
      <c r="D330" s="6" t="s">
        <v>278</v>
      </c>
      <c r="E330" s="6">
        <v>328</v>
      </c>
      <c r="F330" s="6" t="s">
        <v>361</v>
      </c>
      <c r="G330" s="16" t="s">
        <v>15</v>
      </c>
      <c r="H330" s="15" t="s">
        <v>16</v>
      </c>
      <c r="I330" s="16" t="s">
        <v>17</v>
      </c>
      <c r="J330" s="6">
        <v>153.5</v>
      </c>
      <c r="K330" s="6">
        <v>158.05000000000001</v>
      </c>
      <c r="L330" s="6">
        <v>153.5</v>
      </c>
      <c r="M330" s="6">
        <v>153.94999999999999</v>
      </c>
      <c r="N330" s="6">
        <v>156.30000000000001</v>
      </c>
      <c r="O330" s="6">
        <v>747068</v>
      </c>
      <c r="P330" s="14" t="str">
        <f>HYPERLINK("https://gocharting.com/terminal?ticker=NSE:GREAVESCOT&amp;layout=1","click here to view the chart")</f>
        <v>click here to view the chart</v>
      </c>
    </row>
    <row r="331" spans="4:16" x14ac:dyDescent="0.25">
      <c r="D331" s="6" t="s">
        <v>278</v>
      </c>
      <c r="E331" s="6">
        <v>329</v>
      </c>
      <c r="F331" s="6" t="s">
        <v>362</v>
      </c>
      <c r="G331" s="16" t="s">
        <v>15</v>
      </c>
      <c r="H331" s="15" t="s">
        <v>16</v>
      </c>
      <c r="I331" s="17" t="s">
        <v>20</v>
      </c>
      <c r="J331" s="6">
        <v>2039</v>
      </c>
      <c r="K331" s="6">
        <v>2103.4</v>
      </c>
      <c r="L331" s="6">
        <v>2032</v>
      </c>
      <c r="M331" s="6">
        <v>2071.85</v>
      </c>
      <c r="N331" s="6">
        <v>2075.9499999999998</v>
      </c>
      <c r="O331" s="6">
        <v>155826</v>
      </c>
      <c r="P331" s="14" t="str">
        <f>HYPERLINK("https://gocharting.com/terminal?ticker=NSE:GRINDWELL&amp;layout=1","click here to view the chart")</f>
        <v>click here to view the chart</v>
      </c>
    </row>
    <row r="332" spans="4:16" x14ac:dyDescent="0.25">
      <c r="D332" s="6" t="s">
        <v>278</v>
      </c>
      <c r="E332" s="6">
        <v>330</v>
      </c>
      <c r="F332" s="6" t="s">
        <v>363</v>
      </c>
      <c r="G332" s="16" t="s">
        <v>15</v>
      </c>
      <c r="H332" s="15" t="s">
        <v>16</v>
      </c>
      <c r="I332" s="16" t="s">
        <v>17</v>
      </c>
      <c r="J332" s="6">
        <v>441.8</v>
      </c>
      <c r="K332" s="6">
        <v>459</v>
      </c>
      <c r="L332" s="6">
        <v>439.85</v>
      </c>
      <c r="M332" s="6">
        <v>456.25</v>
      </c>
      <c r="N332" s="6">
        <v>486.8</v>
      </c>
      <c r="O332" s="6">
        <v>2285802</v>
      </c>
      <c r="P332" s="14" t="str">
        <f>HYPERLINK("https://gocharting.com/terminal?ticker=NSE:GRSE&amp;layout=1","click here to view the chart")</f>
        <v>click here to view the chart</v>
      </c>
    </row>
    <row r="333" spans="4:16" x14ac:dyDescent="0.25">
      <c r="D333" s="6" t="s">
        <v>278</v>
      </c>
      <c r="E333" s="6">
        <v>331</v>
      </c>
      <c r="F333" s="6" t="s">
        <v>364</v>
      </c>
      <c r="G333" s="16" t="s">
        <v>15</v>
      </c>
      <c r="H333" s="15" t="s">
        <v>16</v>
      </c>
      <c r="I333" s="16" t="s">
        <v>17</v>
      </c>
      <c r="J333" s="6">
        <v>130.6</v>
      </c>
      <c r="K333" s="6">
        <v>132.4</v>
      </c>
      <c r="L333" s="6">
        <v>130.6</v>
      </c>
      <c r="M333" s="6">
        <v>131.15</v>
      </c>
      <c r="N333" s="6">
        <v>133.30000000000001</v>
      </c>
      <c r="O333" s="6">
        <v>1191668</v>
      </c>
      <c r="P333" s="14" t="str">
        <f>HYPERLINK("https://gocharting.com/terminal?ticker=NSE:GSFC&amp;layout=1","click here to view the chart")</f>
        <v>click here to view the chart</v>
      </c>
    </row>
    <row r="334" spans="4:16" x14ac:dyDescent="0.25">
      <c r="D334" s="6" t="s">
        <v>278</v>
      </c>
      <c r="E334" s="6">
        <v>332</v>
      </c>
      <c r="F334" s="6" t="s">
        <v>365</v>
      </c>
      <c r="G334" s="15" t="s">
        <v>25</v>
      </c>
      <c r="H334" s="15" t="s">
        <v>16</v>
      </c>
      <c r="I334" s="15" t="s">
        <v>23</v>
      </c>
      <c r="J334" s="6">
        <v>879.8</v>
      </c>
      <c r="K334" s="6">
        <v>949.65</v>
      </c>
      <c r="L334" s="6">
        <v>879.8</v>
      </c>
      <c r="M334" s="6">
        <v>926.8</v>
      </c>
      <c r="N334" s="6">
        <v>922.4</v>
      </c>
      <c r="O334" s="6">
        <v>1976534</v>
      </c>
      <c r="P334" s="14" t="str">
        <f>HYPERLINK("https://gocharting.com/terminal?ticker=NSE:GUJALKALI&amp;layout=1","click here to view the chart")</f>
        <v>click here to view the chart</v>
      </c>
    </row>
    <row r="335" spans="4:16" x14ac:dyDescent="0.25">
      <c r="D335" s="6" t="s">
        <v>278</v>
      </c>
      <c r="E335" s="6">
        <v>333</v>
      </c>
      <c r="F335" s="6" t="s">
        <v>366</v>
      </c>
      <c r="G335" s="16" t="s">
        <v>19</v>
      </c>
      <c r="H335" s="16" t="s">
        <v>19</v>
      </c>
      <c r="I335" s="17" t="s">
        <v>20</v>
      </c>
      <c r="J335" s="6">
        <v>433</v>
      </c>
      <c r="K335" s="6">
        <v>437.95</v>
      </c>
      <c r="L335" s="6">
        <v>426.75</v>
      </c>
      <c r="M335" s="6">
        <v>427.5</v>
      </c>
      <c r="N335" s="6">
        <v>448.15</v>
      </c>
      <c r="O335" s="6">
        <v>13962</v>
      </c>
      <c r="P335" s="14" t="str">
        <f>HYPERLINK("https://gocharting.com/terminal?ticker=NSE:GULFOILLUB&amp;layout=1","click here to view the chart")</f>
        <v>click here to view the chart</v>
      </c>
    </row>
    <row r="336" spans="4:16" x14ac:dyDescent="0.25">
      <c r="D336" s="6" t="s">
        <v>278</v>
      </c>
      <c r="E336" s="6">
        <v>334</v>
      </c>
      <c r="F336" s="6" t="s">
        <v>367</v>
      </c>
      <c r="G336" s="16" t="s">
        <v>19</v>
      </c>
      <c r="H336" s="16" t="s">
        <v>19</v>
      </c>
      <c r="I336" s="16" t="s">
        <v>17</v>
      </c>
      <c r="J336" s="6">
        <v>998.1</v>
      </c>
      <c r="K336" s="6">
        <v>1006.15</v>
      </c>
      <c r="L336" s="6">
        <v>985.5</v>
      </c>
      <c r="M336" s="6">
        <v>988.8</v>
      </c>
      <c r="N336" s="6">
        <v>1019.95</v>
      </c>
      <c r="O336" s="6">
        <v>191173</v>
      </c>
      <c r="P336" s="14" t="str">
        <f>HYPERLINK("https://gocharting.com/terminal?ticker=NSE:HAPPSTMNDS&amp;layout=1","click here to view the chart")</f>
        <v>click here to view the chart</v>
      </c>
    </row>
    <row r="337" spans="4:16" x14ac:dyDescent="0.25">
      <c r="D337" s="6" t="s">
        <v>278</v>
      </c>
      <c r="E337" s="6">
        <v>335</v>
      </c>
      <c r="F337" s="6" t="s">
        <v>368</v>
      </c>
      <c r="G337" s="16" t="s">
        <v>15</v>
      </c>
      <c r="H337" s="15" t="s">
        <v>16</v>
      </c>
      <c r="I337" s="16" t="s">
        <v>17</v>
      </c>
      <c r="J337" s="6">
        <v>1098.4000000000001</v>
      </c>
      <c r="K337" s="6">
        <v>1124</v>
      </c>
      <c r="L337" s="6">
        <v>1096.05</v>
      </c>
      <c r="M337" s="6">
        <v>1108.95</v>
      </c>
      <c r="N337" s="6">
        <v>1147</v>
      </c>
      <c r="O337" s="6">
        <v>146652</v>
      </c>
      <c r="P337" s="14" t="str">
        <f>HYPERLINK("https://gocharting.com/terminal?ticker=NSE:HEG&amp;layout=1","click here to view the chart")</f>
        <v>click here to view the chart</v>
      </c>
    </row>
    <row r="338" spans="4:16" x14ac:dyDescent="0.25">
      <c r="D338" s="6" t="s">
        <v>278</v>
      </c>
      <c r="E338" s="6">
        <v>336</v>
      </c>
      <c r="F338" s="6" t="s">
        <v>369</v>
      </c>
      <c r="G338" s="16" t="s">
        <v>15</v>
      </c>
      <c r="H338" s="15" t="s">
        <v>16</v>
      </c>
      <c r="I338" s="16" t="s">
        <v>17</v>
      </c>
      <c r="J338" s="6">
        <v>191</v>
      </c>
      <c r="K338" s="6">
        <v>196.85</v>
      </c>
      <c r="L338" s="6">
        <v>191</v>
      </c>
      <c r="M338" s="6">
        <v>195.55</v>
      </c>
      <c r="N338" s="6">
        <v>209.5</v>
      </c>
      <c r="O338" s="6">
        <v>612683</v>
      </c>
      <c r="P338" s="14" t="str">
        <f>HYPERLINK("https://gocharting.com/terminal?ticker=NSE:HEIDELBERG&amp;layout=1","click here to view the chart")</f>
        <v>click here to view the chart</v>
      </c>
    </row>
    <row r="339" spans="4:16" x14ac:dyDescent="0.25">
      <c r="D339" s="6" t="s">
        <v>278</v>
      </c>
      <c r="E339" s="6">
        <v>337</v>
      </c>
      <c r="F339" s="6" t="s">
        <v>370</v>
      </c>
      <c r="G339" s="16" t="s">
        <v>15</v>
      </c>
      <c r="H339" s="15" t="s">
        <v>16</v>
      </c>
      <c r="I339" s="16" t="s">
        <v>17</v>
      </c>
      <c r="J339" s="6">
        <v>96.15</v>
      </c>
      <c r="K339" s="6">
        <v>97.75</v>
      </c>
      <c r="L339" s="6">
        <v>95.85</v>
      </c>
      <c r="M339" s="6">
        <v>96.25</v>
      </c>
      <c r="N339" s="6">
        <v>99.8</v>
      </c>
      <c r="O339" s="6">
        <v>222772</v>
      </c>
      <c r="P339" s="14" t="str">
        <f>HYPERLINK("https://gocharting.com/terminal?ticker=NSE:HEMIPROP&amp;layout=1","click here to view the chart")</f>
        <v>click here to view the chart</v>
      </c>
    </row>
    <row r="340" spans="4:16" x14ac:dyDescent="0.25">
      <c r="D340" s="6" t="s">
        <v>278</v>
      </c>
      <c r="E340" s="6">
        <v>338</v>
      </c>
      <c r="F340" s="6" t="s">
        <v>371</v>
      </c>
      <c r="G340" s="16" t="s">
        <v>15</v>
      </c>
      <c r="H340" s="15" t="s">
        <v>16</v>
      </c>
      <c r="I340" s="16" t="s">
        <v>17</v>
      </c>
      <c r="J340" s="6">
        <v>75.45</v>
      </c>
      <c r="K340" s="6">
        <v>76.55</v>
      </c>
      <c r="L340" s="6">
        <v>75.2</v>
      </c>
      <c r="M340" s="6">
        <v>75.599999999999994</v>
      </c>
      <c r="N340" s="6">
        <v>78.8</v>
      </c>
      <c r="O340" s="6">
        <v>5363223</v>
      </c>
      <c r="P340" s="14" t="str">
        <f>HYPERLINK("https://gocharting.com/terminal?ticker=NSE:HFCL&amp;layout=1","click here to view the chart")</f>
        <v>click here to view the chart</v>
      </c>
    </row>
    <row r="341" spans="4:16" x14ac:dyDescent="0.25">
      <c r="D341" s="6" t="s">
        <v>278</v>
      </c>
      <c r="E341" s="6">
        <v>339</v>
      </c>
      <c r="F341" s="6" t="s">
        <v>372</v>
      </c>
      <c r="G341" s="16" t="s">
        <v>19</v>
      </c>
      <c r="H341" s="16" t="s">
        <v>19</v>
      </c>
      <c r="I341" s="16" t="s">
        <v>17</v>
      </c>
      <c r="J341" s="6">
        <v>107.9</v>
      </c>
      <c r="K341" s="6">
        <v>108.25</v>
      </c>
      <c r="L341" s="6">
        <v>105.95</v>
      </c>
      <c r="M341" s="6">
        <v>106.95</v>
      </c>
      <c r="N341" s="6">
        <v>111</v>
      </c>
      <c r="O341" s="6">
        <v>1591874</v>
      </c>
      <c r="P341" s="14" t="str">
        <f>HYPERLINK("https://gocharting.com/terminal?ticker=NSE:HINDCOPPER&amp;layout=1","click here to view the chart")</f>
        <v>click here to view the chart</v>
      </c>
    </row>
    <row r="342" spans="4:16" x14ac:dyDescent="0.25">
      <c r="D342" s="6" t="s">
        <v>278</v>
      </c>
      <c r="E342" s="6">
        <v>340</v>
      </c>
      <c r="F342" s="6" t="s">
        <v>373</v>
      </c>
      <c r="G342" s="15" t="s">
        <v>25</v>
      </c>
      <c r="H342" s="15" t="s">
        <v>16</v>
      </c>
      <c r="I342" s="16" t="s">
        <v>17</v>
      </c>
      <c r="J342" s="6">
        <v>101.9</v>
      </c>
      <c r="K342" s="6">
        <v>104.4</v>
      </c>
      <c r="L342" s="6">
        <v>101.15</v>
      </c>
      <c r="M342" s="6">
        <v>103.7</v>
      </c>
      <c r="N342" s="6">
        <v>103.45</v>
      </c>
      <c r="O342" s="6">
        <v>4729045</v>
      </c>
      <c r="P342" s="14" t="str">
        <f>HYPERLINK("https://gocharting.com/terminal?ticker=NSE:HSCL&amp;layout=1","click here to view the chart")</f>
        <v>click here to view the chart</v>
      </c>
    </row>
    <row r="343" spans="4:16" x14ac:dyDescent="0.25">
      <c r="D343" s="6" t="s">
        <v>278</v>
      </c>
      <c r="E343" s="6">
        <v>341</v>
      </c>
      <c r="F343" s="6" t="s">
        <v>374</v>
      </c>
      <c r="G343" s="16" t="s">
        <v>19</v>
      </c>
      <c r="H343" s="16" t="s">
        <v>19</v>
      </c>
      <c r="I343" s="16" t="s">
        <v>17</v>
      </c>
      <c r="J343" s="6">
        <v>36.1</v>
      </c>
      <c r="K343" s="6">
        <v>36.1</v>
      </c>
      <c r="L343" s="6">
        <v>35.700000000000003</v>
      </c>
      <c r="M343" s="6">
        <v>36</v>
      </c>
      <c r="N343" s="6">
        <v>36.5</v>
      </c>
      <c r="O343" s="6">
        <v>906139</v>
      </c>
      <c r="P343" s="14" t="str">
        <f>HYPERLINK("https://gocharting.com/terminal?ticker=NSE:HUDCO&amp;layout=1","click here to view the chart")</f>
        <v>click here to view the chart</v>
      </c>
    </row>
    <row r="344" spans="4:16" x14ac:dyDescent="0.25">
      <c r="D344" s="6" t="s">
        <v>278</v>
      </c>
      <c r="E344" s="6">
        <v>342</v>
      </c>
      <c r="F344" s="6" t="s">
        <v>375</v>
      </c>
      <c r="G344" s="16" t="s">
        <v>15</v>
      </c>
      <c r="H344" s="15" t="s">
        <v>16</v>
      </c>
      <c r="I344" s="16" t="s">
        <v>17</v>
      </c>
      <c r="J344" s="6">
        <v>230.15</v>
      </c>
      <c r="K344" s="6">
        <v>235.5</v>
      </c>
      <c r="L344" s="6">
        <v>227.85</v>
      </c>
      <c r="M344" s="6">
        <v>231.45</v>
      </c>
      <c r="N344" s="6">
        <v>234.4</v>
      </c>
      <c r="O344" s="6">
        <v>88950</v>
      </c>
      <c r="P344" s="14" t="str">
        <f>HYPERLINK("https://gocharting.com/terminal?ticker=NSE:HUHTAMAKI&amp;layout=1","click here to view the chart")</f>
        <v>click here to view the chart</v>
      </c>
    </row>
    <row r="345" spans="4:16" x14ac:dyDescent="0.25">
      <c r="D345" s="6" t="s">
        <v>278</v>
      </c>
      <c r="E345" s="6">
        <v>343</v>
      </c>
      <c r="F345" s="6" t="s">
        <v>376</v>
      </c>
      <c r="G345" s="16" t="s">
        <v>19</v>
      </c>
      <c r="H345" s="16" t="s">
        <v>19</v>
      </c>
      <c r="I345" s="16" t="s">
        <v>17</v>
      </c>
      <c r="J345" s="6">
        <v>74</v>
      </c>
      <c r="K345" s="6">
        <v>74.599999999999994</v>
      </c>
      <c r="L345" s="6">
        <v>72.599999999999994</v>
      </c>
      <c r="M345" s="6">
        <v>73.2</v>
      </c>
      <c r="N345" s="6">
        <v>77.5</v>
      </c>
      <c r="O345" s="6">
        <v>4902008</v>
      </c>
      <c r="P345" s="14" t="str">
        <f>HYPERLINK("https://gocharting.com/terminal?ticker=NSE:IBREALEST&amp;layout=1","click here to view the chart")</f>
        <v>click here to view the chart</v>
      </c>
    </row>
    <row r="346" spans="4:16" x14ac:dyDescent="0.25">
      <c r="D346" s="6" t="s">
        <v>278</v>
      </c>
      <c r="E346" s="6">
        <v>344</v>
      </c>
      <c r="F346" s="6" t="s">
        <v>377</v>
      </c>
      <c r="G346" s="16" t="s">
        <v>15</v>
      </c>
      <c r="H346" s="15" t="s">
        <v>16</v>
      </c>
      <c r="I346" s="17" t="s">
        <v>20</v>
      </c>
      <c r="J346" s="6">
        <v>130.30000000000001</v>
      </c>
      <c r="K346" s="6">
        <v>133.1</v>
      </c>
      <c r="L346" s="6">
        <v>130</v>
      </c>
      <c r="M346" s="6">
        <v>131.6</v>
      </c>
      <c r="N346" s="6">
        <v>133.4</v>
      </c>
      <c r="O346" s="6">
        <v>184684</v>
      </c>
      <c r="P346" s="14" t="str">
        <f>HYPERLINK("https://gocharting.com/terminal?ticker=NSE:ICIL&amp;layout=1","click here to view the chart")</f>
        <v>click here to view the chart</v>
      </c>
    </row>
    <row r="347" spans="4:16" x14ac:dyDescent="0.25">
      <c r="D347" s="6" t="s">
        <v>278</v>
      </c>
      <c r="E347" s="6">
        <v>345</v>
      </c>
      <c r="F347" s="6" t="s">
        <v>378</v>
      </c>
      <c r="G347" s="16" t="s">
        <v>19</v>
      </c>
      <c r="H347" s="17" t="s">
        <v>526</v>
      </c>
      <c r="I347" s="16" t="s">
        <v>17</v>
      </c>
      <c r="J347" s="6">
        <v>78</v>
      </c>
      <c r="K347" s="6">
        <v>78.900000000000006</v>
      </c>
      <c r="L347" s="6">
        <v>76.900000000000006</v>
      </c>
      <c r="M347" s="6">
        <v>78</v>
      </c>
      <c r="N347" s="6">
        <v>78.25</v>
      </c>
      <c r="O347" s="6">
        <v>10717157</v>
      </c>
      <c r="P347" s="14" t="str">
        <f>HYPERLINK("https://gocharting.com/terminal?ticker=NSE:IDFC&amp;layout=1","click here to view the chart")</f>
        <v>click here to view the chart</v>
      </c>
    </row>
    <row r="348" spans="4:16" x14ac:dyDescent="0.25">
      <c r="D348" s="6" t="s">
        <v>278</v>
      </c>
      <c r="E348" s="6">
        <v>346</v>
      </c>
      <c r="F348" s="6" t="s">
        <v>379</v>
      </c>
      <c r="G348" s="16" t="s">
        <v>19</v>
      </c>
      <c r="H348" s="16" t="s">
        <v>19</v>
      </c>
      <c r="I348" s="17" t="s">
        <v>20</v>
      </c>
      <c r="J348" s="6">
        <v>140</v>
      </c>
      <c r="K348" s="6">
        <v>140.30000000000001</v>
      </c>
      <c r="L348" s="6">
        <v>138</v>
      </c>
      <c r="M348" s="6">
        <v>139.69999999999999</v>
      </c>
      <c r="N348" s="6">
        <v>143.05000000000001</v>
      </c>
      <c r="O348" s="6">
        <v>4931209</v>
      </c>
      <c r="P348" s="14" t="str">
        <f>HYPERLINK("https://gocharting.com/terminal?ticker=NSE:IEX&amp;layout=1","click here to view the chart")</f>
        <v>click here to view the chart</v>
      </c>
    </row>
    <row r="349" spans="4:16" x14ac:dyDescent="0.25">
      <c r="D349" s="6" t="s">
        <v>278</v>
      </c>
      <c r="E349" s="6">
        <v>347</v>
      </c>
      <c r="F349" s="6" t="s">
        <v>380</v>
      </c>
      <c r="G349" s="16" t="s">
        <v>19</v>
      </c>
      <c r="H349" s="16" t="s">
        <v>19</v>
      </c>
      <c r="I349" s="16" t="s">
        <v>17</v>
      </c>
      <c r="J349" s="6">
        <v>957</v>
      </c>
      <c r="K349" s="6">
        <v>962.75</v>
      </c>
      <c r="L349" s="6">
        <v>928.5</v>
      </c>
      <c r="M349" s="6">
        <v>935.3</v>
      </c>
      <c r="N349" s="6">
        <v>994</v>
      </c>
      <c r="O349" s="6">
        <v>23693</v>
      </c>
      <c r="P349" s="14" t="str">
        <f>HYPERLINK("https://gocharting.com/terminal?ticker=NSE:IFBIND&amp;layout=1","click here to view the chart")</f>
        <v>click here to view the chart</v>
      </c>
    </row>
    <row r="350" spans="4:16" x14ac:dyDescent="0.25">
      <c r="D350" s="6" t="s">
        <v>278</v>
      </c>
      <c r="E350" s="6">
        <v>348</v>
      </c>
      <c r="F350" s="6" t="s">
        <v>381</v>
      </c>
      <c r="G350" s="16" t="s">
        <v>15</v>
      </c>
      <c r="H350" s="15" t="s">
        <v>16</v>
      </c>
      <c r="I350" s="17" t="s">
        <v>20</v>
      </c>
      <c r="J350" s="6">
        <v>351.75</v>
      </c>
      <c r="K350" s="6">
        <v>357.75</v>
      </c>
      <c r="L350" s="6">
        <v>347.5</v>
      </c>
      <c r="M350" s="6">
        <v>352.65</v>
      </c>
      <c r="N350" s="6">
        <v>357.3</v>
      </c>
      <c r="O350" s="6">
        <v>579301</v>
      </c>
      <c r="P350" s="14" t="str">
        <f>HYPERLINK("https://gocharting.com/terminal?ticker=NSE:IIFL&amp;layout=1","click here to view the chart")</f>
        <v>click here to view the chart</v>
      </c>
    </row>
    <row r="351" spans="4:16" x14ac:dyDescent="0.25">
      <c r="D351" s="6" t="s">
        <v>278</v>
      </c>
      <c r="E351" s="6">
        <v>349</v>
      </c>
      <c r="F351" s="6" t="s">
        <v>382</v>
      </c>
      <c r="G351" s="16" t="s">
        <v>19</v>
      </c>
      <c r="H351" s="16" t="s">
        <v>19</v>
      </c>
      <c r="I351" s="16" t="s">
        <v>17</v>
      </c>
      <c r="J351" s="6">
        <v>234</v>
      </c>
      <c r="K351" s="6">
        <v>236.75</v>
      </c>
      <c r="L351" s="6">
        <v>229.15</v>
      </c>
      <c r="M351" s="6">
        <v>230.9</v>
      </c>
      <c r="N351" s="6">
        <v>251.8</v>
      </c>
      <c r="O351" s="6">
        <v>4763300</v>
      </c>
      <c r="P351" s="14" t="str">
        <f>HYPERLINK("https://gocharting.com/terminal?ticker=NSE:INDIACEM&amp;layout=1","click here to view the chart")</f>
        <v>click here to view the chart</v>
      </c>
    </row>
    <row r="352" spans="4:16" x14ac:dyDescent="0.25">
      <c r="D352" s="6" t="s">
        <v>278</v>
      </c>
      <c r="E352" s="6">
        <v>350</v>
      </c>
      <c r="F352" s="6" t="s">
        <v>383</v>
      </c>
      <c r="G352" s="15" t="s">
        <v>25</v>
      </c>
      <c r="H352" s="15" t="s">
        <v>16</v>
      </c>
      <c r="I352" s="15" t="s">
        <v>23</v>
      </c>
      <c r="J352" s="6">
        <v>207.3</v>
      </c>
      <c r="K352" s="6">
        <v>217.9</v>
      </c>
      <c r="L352" s="6">
        <v>203.5</v>
      </c>
      <c r="M352" s="6">
        <v>215.55</v>
      </c>
      <c r="N352" s="6">
        <v>206</v>
      </c>
      <c r="O352" s="6">
        <v>5390546</v>
      </c>
      <c r="P352" s="14" t="str">
        <f>HYPERLINK("https://gocharting.com/terminal?ticker=NSE:INDIANB&amp;layout=1","click here to view the chart")</f>
        <v>click here to view the chart</v>
      </c>
    </row>
    <row r="353" spans="4:16" x14ac:dyDescent="0.25">
      <c r="D353" s="6" t="s">
        <v>278</v>
      </c>
      <c r="E353" s="6">
        <v>351</v>
      </c>
      <c r="F353" s="6" t="s">
        <v>384</v>
      </c>
      <c r="G353" s="16" t="s">
        <v>19</v>
      </c>
      <c r="H353" s="16" t="s">
        <v>19</v>
      </c>
      <c r="I353" s="16" t="s">
        <v>17</v>
      </c>
      <c r="J353" s="6">
        <v>343.2</v>
      </c>
      <c r="K353" s="6">
        <v>350</v>
      </c>
      <c r="L353" s="6">
        <v>340.35</v>
      </c>
      <c r="M353" s="6">
        <v>342.75</v>
      </c>
      <c r="N353" s="6">
        <v>349.9</v>
      </c>
      <c r="O353" s="6">
        <v>32808</v>
      </c>
      <c r="P353" s="14" t="str">
        <f>HYPERLINK("https://gocharting.com/terminal?ticker=NSE:INDOCO&amp;layout=1","click here to view the chart")</f>
        <v>click here to view the chart</v>
      </c>
    </row>
    <row r="354" spans="4:16" x14ac:dyDescent="0.25">
      <c r="D354" s="6" t="s">
        <v>278</v>
      </c>
      <c r="E354" s="6">
        <v>352</v>
      </c>
      <c r="F354" s="6" t="s">
        <v>385</v>
      </c>
      <c r="G354" s="16" t="s">
        <v>15</v>
      </c>
      <c r="H354" s="15" t="s">
        <v>16</v>
      </c>
      <c r="I354" s="16" t="s">
        <v>17</v>
      </c>
      <c r="J354" s="6">
        <v>14.25</v>
      </c>
      <c r="K354" s="6">
        <v>14.5</v>
      </c>
      <c r="L354" s="6">
        <v>14.2</v>
      </c>
      <c r="M354" s="6">
        <v>14.4</v>
      </c>
      <c r="N354" s="6">
        <v>14.75</v>
      </c>
      <c r="O354" s="6">
        <v>1471284</v>
      </c>
      <c r="P354" s="14" t="str">
        <f>HYPERLINK("https://gocharting.com/terminal?ticker=NSE:INFIBEAM&amp;layout=1","click here to view the chart")</f>
        <v>click here to view the chart</v>
      </c>
    </row>
    <row r="355" spans="4:16" x14ac:dyDescent="0.25">
      <c r="D355" s="6" t="s">
        <v>278</v>
      </c>
      <c r="E355" s="6">
        <v>353</v>
      </c>
      <c r="F355" s="6" t="s">
        <v>386</v>
      </c>
      <c r="G355" s="16" t="s">
        <v>15</v>
      </c>
      <c r="H355" s="15" t="s">
        <v>16</v>
      </c>
      <c r="I355" s="15" t="s">
        <v>23</v>
      </c>
      <c r="J355" s="6">
        <v>1990</v>
      </c>
      <c r="K355" s="6">
        <v>2154</v>
      </c>
      <c r="L355" s="6">
        <v>1990</v>
      </c>
      <c r="M355" s="6">
        <v>2135.1999999999998</v>
      </c>
      <c r="N355" s="6">
        <v>2161.6999999999998</v>
      </c>
      <c r="O355" s="6">
        <v>69398</v>
      </c>
      <c r="P355" s="14" t="str">
        <f>HYPERLINK("https://gocharting.com/terminal?ticker=NSE:INGERRAND&amp;layout=1","click here to view the chart")</f>
        <v>click here to view the chart</v>
      </c>
    </row>
    <row r="356" spans="4:16" x14ac:dyDescent="0.25">
      <c r="D356" s="6" t="s">
        <v>278</v>
      </c>
      <c r="E356" s="6">
        <v>354</v>
      </c>
      <c r="F356" s="6" t="s">
        <v>387</v>
      </c>
      <c r="G356" s="16" t="s">
        <v>15</v>
      </c>
      <c r="H356" s="15" t="s">
        <v>16</v>
      </c>
      <c r="I356" s="16" t="s">
        <v>17</v>
      </c>
      <c r="J356" s="6">
        <v>501</v>
      </c>
      <c r="K356" s="6">
        <v>510</v>
      </c>
      <c r="L356" s="6">
        <v>488.6</v>
      </c>
      <c r="M356" s="6">
        <v>507.7</v>
      </c>
      <c r="N356" s="6">
        <v>514.79999999999995</v>
      </c>
      <c r="O356" s="6">
        <v>217949</v>
      </c>
      <c r="P356" s="14" t="str">
        <f>HYPERLINK("https://gocharting.com/terminal?ticker=NSE:INOXLEISUR&amp;layout=1","click here to view the chart")</f>
        <v>click here to view the chart</v>
      </c>
    </row>
    <row r="357" spans="4:16" x14ac:dyDescent="0.25">
      <c r="D357" s="6" t="s">
        <v>278</v>
      </c>
      <c r="E357" s="6">
        <v>355</v>
      </c>
      <c r="F357" s="6" t="s">
        <v>388</v>
      </c>
      <c r="G357" s="16" t="s">
        <v>19</v>
      </c>
      <c r="H357" s="16" t="s">
        <v>19</v>
      </c>
      <c r="I357" s="16" t="s">
        <v>17</v>
      </c>
      <c r="J357" s="6">
        <v>531</v>
      </c>
      <c r="K357" s="6">
        <v>533.5</v>
      </c>
      <c r="L357" s="6">
        <v>521.20000000000005</v>
      </c>
      <c r="M357" s="6">
        <v>523.4</v>
      </c>
      <c r="N357" s="6">
        <v>544.9</v>
      </c>
      <c r="O357" s="6">
        <v>210271</v>
      </c>
      <c r="P357" s="14" t="str">
        <f>HYPERLINK("https://gocharting.com/terminal?ticker=NSE:INTELLECT&amp;layout=1","click here to view the chart")</f>
        <v>click here to view the chart</v>
      </c>
    </row>
    <row r="358" spans="4:16" x14ac:dyDescent="0.25">
      <c r="D358" s="6" t="s">
        <v>278</v>
      </c>
      <c r="E358" s="6">
        <v>356</v>
      </c>
      <c r="F358" s="6" t="s">
        <v>389</v>
      </c>
      <c r="G358" s="15" t="s">
        <v>25</v>
      </c>
      <c r="H358" s="15" t="s">
        <v>16</v>
      </c>
      <c r="I358" s="17" t="s">
        <v>20</v>
      </c>
      <c r="J358" s="6">
        <v>17.3</v>
      </c>
      <c r="K358" s="6">
        <v>17.7</v>
      </c>
      <c r="L358" s="6">
        <v>17.2</v>
      </c>
      <c r="M358" s="6">
        <v>17.5</v>
      </c>
      <c r="N358" s="6">
        <v>17.45</v>
      </c>
      <c r="O358" s="6">
        <v>3020397</v>
      </c>
      <c r="P358" s="14" t="str">
        <f>HYPERLINK("https://gocharting.com/terminal?ticker=NSE:IOB&amp;layout=1","click here to view the chart")</f>
        <v>click here to view the chart</v>
      </c>
    </row>
    <row r="359" spans="4:16" x14ac:dyDescent="0.25">
      <c r="D359" s="6" t="s">
        <v>278</v>
      </c>
      <c r="E359" s="6">
        <v>357</v>
      </c>
      <c r="F359" s="6" t="s">
        <v>390</v>
      </c>
      <c r="G359" s="16" t="s">
        <v>15</v>
      </c>
      <c r="H359" s="15" t="s">
        <v>16</v>
      </c>
      <c r="I359" s="16" t="s">
        <v>17</v>
      </c>
      <c r="J359" s="6">
        <v>361</v>
      </c>
      <c r="K359" s="6">
        <v>365.15</v>
      </c>
      <c r="L359" s="6">
        <v>360.05</v>
      </c>
      <c r="M359" s="6">
        <v>361.9</v>
      </c>
      <c r="N359" s="6">
        <v>383.55</v>
      </c>
      <c r="O359" s="6">
        <v>54366</v>
      </c>
      <c r="P359" s="14" t="str">
        <f>HYPERLINK("https://gocharting.com/terminal?ticker=NSE:IOLCP&amp;layout=1","click here to view the chart")</f>
        <v>click here to view the chart</v>
      </c>
    </row>
    <row r="360" spans="4:16" x14ac:dyDescent="0.25">
      <c r="D360" s="6" t="s">
        <v>278</v>
      </c>
      <c r="E360" s="6">
        <v>358</v>
      </c>
      <c r="F360" s="6" t="s">
        <v>391</v>
      </c>
      <c r="G360" s="16" t="s">
        <v>19</v>
      </c>
      <c r="H360" s="16" t="s">
        <v>19</v>
      </c>
      <c r="I360" s="17" t="s">
        <v>20</v>
      </c>
      <c r="J360" s="6">
        <v>240.2</v>
      </c>
      <c r="K360" s="6">
        <v>245</v>
      </c>
      <c r="L360" s="6">
        <v>234.7</v>
      </c>
      <c r="M360" s="6">
        <v>236.05</v>
      </c>
      <c r="N360" s="6">
        <v>241.6</v>
      </c>
      <c r="O360" s="6">
        <v>3525493</v>
      </c>
      <c r="P360" s="14" t="str">
        <f>HYPERLINK("https://gocharting.com/terminal?ticker=NSE:IRB&amp;layout=1","click here to view the chart")</f>
        <v>click here to view the chart</v>
      </c>
    </row>
    <row r="361" spans="4:16" x14ac:dyDescent="0.25">
      <c r="D361" s="6" t="s">
        <v>278</v>
      </c>
      <c r="E361" s="6">
        <v>359</v>
      </c>
      <c r="F361" s="6" t="s">
        <v>392</v>
      </c>
      <c r="G361" s="16" t="s">
        <v>19</v>
      </c>
      <c r="H361" s="16" t="s">
        <v>19</v>
      </c>
      <c r="I361" s="16" t="s">
        <v>17</v>
      </c>
      <c r="J361" s="6">
        <v>42.45</v>
      </c>
      <c r="K361" s="6">
        <v>42.9</v>
      </c>
      <c r="L361" s="6">
        <v>42.1</v>
      </c>
      <c r="M361" s="6">
        <v>42.25</v>
      </c>
      <c r="N361" s="6">
        <v>43.8</v>
      </c>
      <c r="O361" s="6">
        <v>1058797</v>
      </c>
      <c r="P361" s="14" t="str">
        <f>HYPERLINK("https://gocharting.com/terminal?ticker=NSE:IRCON&amp;layout=1","click here to view the chart")</f>
        <v>click here to view the chart</v>
      </c>
    </row>
    <row r="362" spans="4:16" x14ac:dyDescent="0.25">
      <c r="D362" s="6" t="s">
        <v>278</v>
      </c>
      <c r="E362" s="6">
        <v>360</v>
      </c>
      <c r="F362" s="6" t="s">
        <v>393</v>
      </c>
      <c r="G362" s="16" t="s">
        <v>19</v>
      </c>
      <c r="H362" s="16" t="s">
        <v>19</v>
      </c>
      <c r="I362" s="16" t="s">
        <v>17</v>
      </c>
      <c r="J362" s="6">
        <v>108.8</v>
      </c>
      <c r="K362" s="6">
        <v>109.7</v>
      </c>
      <c r="L362" s="6">
        <v>106.65</v>
      </c>
      <c r="M362" s="6">
        <v>108.65</v>
      </c>
      <c r="N362" s="6">
        <v>111</v>
      </c>
      <c r="O362" s="6">
        <v>620667</v>
      </c>
      <c r="P362" s="14" t="str">
        <f>HYPERLINK("https://gocharting.com/terminal?ticker=NSE:JAMNAAUTO&amp;layout=1","click here to view the chart")</f>
        <v>click here to view the chart</v>
      </c>
    </row>
    <row r="363" spans="4:16" x14ac:dyDescent="0.25">
      <c r="D363" s="6" t="s">
        <v>278</v>
      </c>
      <c r="E363" s="6">
        <v>361</v>
      </c>
      <c r="F363" s="6" t="s">
        <v>394</v>
      </c>
      <c r="G363" s="16" t="s">
        <v>15</v>
      </c>
      <c r="H363" s="15" t="s">
        <v>16</v>
      </c>
      <c r="I363" s="16" t="s">
        <v>17</v>
      </c>
      <c r="J363" s="6">
        <v>1923.8</v>
      </c>
      <c r="K363" s="6">
        <v>1938.95</v>
      </c>
      <c r="L363" s="6">
        <v>1911</v>
      </c>
      <c r="M363" s="6">
        <v>1930.6</v>
      </c>
      <c r="N363" s="6">
        <v>2036</v>
      </c>
      <c r="O363" s="6">
        <v>49603</v>
      </c>
      <c r="P363" s="14" t="str">
        <f>HYPERLINK("https://gocharting.com/terminal?ticker=NSE:JBCHEPHARM&amp;layout=1","click here to view the chart")</f>
        <v>click here to view the chart</v>
      </c>
    </row>
    <row r="364" spans="4:16" x14ac:dyDescent="0.25">
      <c r="D364" s="6" t="s">
        <v>278</v>
      </c>
      <c r="E364" s="6">
        <v>362</v>
      </c>
      <c r="F364" s="6" t="s">
        <v>395</v>
      </c>
      <c r="G364" s="16" t="s">
        <v>19</v>
      </c>
      <c r="H364" s="16" t="s">
        <v>19</v>
      </c>
      <c r="I364" s="17" t="s">
        <v>20</v>
      </c>
      <c r="J364" s="6">
        <v>1372.4</v>
      </c>
      <c r="K364" s="6">
        <v>1387.7</v>
      </c>
      <c r="L364" s="6">
        <v>1349.1</v>
      </c>
      <c r="M364" s="6">
        <v>1366.05</v>
      </c>
      <c r="N364" s="6">
        <v>1405</v>
      </c>
      <c r="O364" s="6">
        <v>7969</v>
      </c>
      <c r="P364" s="14" t="str">
        <f>HYPERLINK("https://gocharting.com/terminal?ticker=NSE:JCHAC&amp;layout=1","click here to view the chart")</f>
        <v>click here to view the chart</v>
      </c>
    </row>
    <row r="365" spans="4:16" x14ac:dyDescent="0.25">
      <c r="D365" s="6" t="s">
        <v>278</v>
      </c>
      <c r="E365" s="6">
        <v>363</v>
      </c>
      <c r="F365" s="6" t="s">
        <v>396</v>
      </c>
      <c r="G365" s="16" t="s">
        <v>19</v>
      </c>
      <c r="H365" s="16" t="s">
        <v>19</v>
      </c>
      <c r="I365" s="17" t="s">
        <v>20</v>
      </c>
      <c r="J365" s="6">
        <v>83.35</v>
      </c>
      <c r="K365" s="6">
        <v>83.5</v>
      </c>
      <c r="L365" s="6">
        <v>81.25</v>
      </c>
      <c r="M365" s="6">
        <v>81.599999999999994</v>
      </c>
      <c r="N365" s="6">
        <v>85</v>
      </c>
      <c r="O365" s="6">
        <v>484593</v>
      </c>
      <c r="P365" s="14" t="str">
        <f>HYPERLINK("https://gocharting.com/terminal?ticker=NSE:JINDALSAW&amp;layout=1","click here to view the chart")</f>
        <v>click here to view the chart</v>
      </c>
    </row>
    <row r="366" spans="4:16" x14ac:dyDescent="0.25">
      <c r="D366" s="6" t="s">
        <v>278</v>
      </c>
      <c r="E366" s="6">
        <v>364</v>
      </c>
      <c r="F366" s="6" t="s">
        <v>397</v>
      </c>
      <c r="G366" s="16" t="s">
        <v>19</v>
      </c>
      <c r="H366" s="16" t="s">
        <v>19</v>
      </c>
      <c r="I366" s="16" t="s">
        <v>17</v>
      </c>
      <c r="J366" s="6">
        <v>550</v>
      </c>
      <c r="K366" s="6">
        <v>555.70000000000005</v>
      </c>
      <c r="L366" s="6">
        <v>541.20000000000005</v>
      </c>
      <c r="M366" s="6">
        <v>545.9</v>
      </c>
      <c r="N366" s="6">
        <v>562.4</v>
      </c>
      <c r="O366" s="6">
        <v>105552</v>
      </c>
      <c r="P366" s="14" t="str">
        <f>HYPERLINK("https://gocharting.com/terminal?ticker=NSE:JKLAKSHMI&amp;layout=1","click here to view the chart")</f>
        <v>click here to view the chart</v>
      </c>
    </row>
    <row r="367" spans="4:16" x14ac:dyDescent="0.25">
      <c r="D367" s="6" t="s">
        <v>278</v>
      </c>
      <c r="E367" s="6">
        <v>365</v>
      </c>
      <c r="F367" s="6" t="s">
        <v>398</v>
      </c>
      <c r="G367" s="16" t="s">
        <v>19</v>
      </c>
      <c r="H367" s="16" t="s">
        <v>19</v>
      </c>
      <c r="I367" s="16" t="s">
        <v>17</v>
      </c>
      <c r="J367" s="6">
        <v>399</v>
      </c>
      <c r="K367" s="6">
        <v>401</v>
      </c>
      <c r="L367" s="6">
        <v>386.45</v>
      </c>
      <c r="M367" s="6">
        <v>388.05</v>
      </c>
      <c r="N367" s="6">
        <v>402.2</v>
      </c>
      <c r="O367" s="6">
        <v>654708</v>
      </c>
      <c r="P367" s="14" t="str">
        <f>HYPERLINK("https://gocharting.com/terminal?ticker=NSE:JKPAPER&amp;layout=1","click here to view the chart")</f>
        <v>click here to view the chart</v>
      </c>
    </row>
    <row r="368" spans="4:16" x14ac:dyDescent="0.25">
      <c r="D368" s="6" t="s">
        <v>278</v>
      </c>
      <c r="E368" s="6">
        <v>366</v>
      </c>
      <c r="F368" s="6" t="s">
        <v>399</v>
      </c>
      <c r="G368" s="16" t="s">
        <v>19</v>
      </c>
      <c r="H368" s="16" t="s">
        <v>19</v>
      </c>
      <c r="I368" s="16" t="s">
        <v>17</v>
      </c>
      <c r="J368" s="6">
        <v>171</v>
      </c>
      <c r="K368" s="6">
        <v>171.7</v>
      </c>
      <c r="L368" s="6">
        <v>165.1</v>
      </c>
      <c r="M368" s="6">
        <v>166.35</v>
      </c>
      <c r="N368" s="6">
        <v>179.8</v>
      </c>
      <c r="O368" s="6">
        <v>867939</v>
      </c>
      <c r="P368" s="14" t="str">
        <f>HYPERLINK("https://gocharting.com/terminal?ticker=NSE:JKTYRE&amp;layout=1","click here to view the chart")</f>
        <v>click here to view the chart</v>
      </c>
    </row>
    <row r="369" spans="4:16" x14ac:dyDescent="0.25">
      <c r="D369" s="6" t="s">
        <v>278</v>
      </c>
      <c r="E369" s="6">
        <v>367</v>
      </c>
      <c r="F369" s="6" t="s">
        <v>400</v>
      </c>
      <c r="G369" s="16" t="s">
        <v>15</v>
      </c>
      <c r="H369" s="15" t="s">
        <v>16</v>
      </c>
      <c r="I369" s="17" t="s">
        <v>20</v>
      </c>
      <c r="J369" s="6">
        <v>130.80000000000001</v>
      </c>
      <c r="K369" s="6">
        <v>134.94999999999999</v>
      </c>
      <c r="L369" s="6">
        <v>130.15</v>
      </c>
      <c r="M369" s="6">
        <v>134.35</v>
      </c>
      <c r="N369" s="6">
        <v>134.5</v>
      </c>
      <c r="O369" s="6">
        <v>647376</v>
      </c>
      <c r="P369" s="14" t="str">
        <f>HYPERLINK("https://gocharting.com/terminal?ticker=NSE:JSL&amp;layout=1","click here to view the chart")</f>
        <v>click here to view the chart</v>
      </c>
    </row>
    <row r="370" spans="4:16" x14ac:dyDescent="0.25">
      <c r="D370" s="6" t="s">
        <v>278</v>
      </c>
      <c r="E370" s="6">
        <v>368</v>
      </c>
      <c r="F370" s="6" t="s">
        <v>401</v>
      </c>
      <c r="G370" s="15" t="s">
        <v>25</v>
      </c>
      <c r="H370" s="15" t="s">
        <v>16</v>
      </c>
      <c r="I370" s="15" t="s">
        <v>23</v>
      </c>
      <c r="J370" s="6">
        <v>259.8</v>
      </c>
      <c r="K370" s="6">
        <v>266</v>
      </c>
      <c r="L370" s="6">
        <v>256.3</v>
      </c>
      <c r="M370" s="6">
        <v>264.14999999999998</v>
      </c>
      <c r="N370" s="6">
        <v>263</v>
      </c>
      <c r="O370" s="6">
        <v>270958</v>
      </c>
      <c r="P370" s="14" t="str">
        <f>HYPERLINK("https://gocharting.com/terminal?ticker=NSE:JSLHISAR&amp;layout=1","click here to view the chart")</f>
        <v>click here to view the chart</v>
      </c>
    </row>
    <row r="371" spans="4:16" x14ac:dyDescent="0.25">
      <c r="D371" s="6" t="s">
        <v>278</v>
      </c>
      <c r="E371" s="6">
        <v>369</v>
      </c>
      <c r="F371" s="6" t="s">
        <v>402</v>
      </c>
      <c r="G371" s="16" t="s">
        <v>19</v>
      </c>
      <c r="H371" s="16" t="s">
        <v>19</v>
      </c>
      <c r="I371" s="17" t="s">
        <v>20</v>
      </c>
      <c r="J371" s="6">
        <v>107.7</v>
      </c>
      <c r="K371" s="6">
        <v>110.75</v>
      </c>
      <c r="L371" s="6">
        <v>106.8</v>
      </c>
      <c r="M371" s="6">
        <v>107.45</v>
      </c>
      <c r="N371" s="6">
        <v>114</v>
      </c>
      <c r="O371" s="6">
        <v>712828</v>
      </c>
      <c r="P371" s="14" t="str">
        <f>HYPERLINK("https://gocharting.com/terminal?ticker=NSE:JTEKTINDIA&amp;layout=1","click here to view the chart")</f>
        <v>click here to view the chart</v>
      </c>
    </row>
    <row r="372" spans="4:16" x14ac:dyDescent="0.25">
      <c r="D372" s="6" t="s">
        <v>278</v>
      </c>
      <c r="E372" s="6">
        <v>370</v>
      </c>
      <c r="F372" s="6" t="s">
        <v>403</v>
      </c>
      <c r="G372" s="16" t="s">
        <v>15</v>
      </c>
      <c r="H372" s="15" t="s">
        <v>16</v>
      </c>
      <c r="I372" s="17" t="s">
        <v>20</v>
      </c>
      <c r="J372" s="6">
        <v>597.54999999999995</v>
      </c>
      <c r="K372" s="6">
        <v>608.5</v>
      </c>
      <c r="L372" s="6">
        <v>590.9</v>
      </c>
      <c r="M372" s="6">
        <v>602.6</v>
      </c>
      <c r="N372" s="6">
        <v>608.85</v>
      </c>
      <c r="O372" s="6">
        <v>496145</v>
      </c>
      <c r="P372" s="14" t="str">
        <f>HYPERLINK("https://gocharting.com/terminal?ticker=NSE:JUSTDIAL&amp;layout=1","click here to view the chart")</f>
        <v>click here to view the chart</v>
      </c>
    </row>
    <row r="373" spans="4:16" x14ac:dyDescent="0.25">
      <c r="D373" s="6" t="s">
        <v>278</v>
      </c>
      <c r="E373" s="6">
        <v>371</v>
      </c>
      <c r="F373" s="6" t="s">
        <v>404</v>
      </c>
      <c r="G373" s="16" t="s">
        <v>19</v>
      </c>
      <c r="H373" s="16" t="s">
        <v>19</v>
      </c>
      <c r="I373" s="16" t="s">
        <v>17</v>
      </c>
      <c r="J373" s="6">
        <v>197.55</v>
      </c>
      <c r="K373" s="6">
        <v>197.8</v>
      </c>
      <c r="L373" s="6">
        <v>191.05</v>
      </c>
      <c r="M373" s="6">
        <v>192.7</v>
      </c>
      <c r="N373" s="6">
        <v>207.05</v>
      </c>
      <c r="O373" s="6">
        <v>222122</v>
      </c>
      <c r="P373" s="14" t="str">
        <f>HYPERLINK("https://gocharting.com/terminal?ticker=NSE:JYOTHYLAB&amp;layout=1","click here to view the chart")</f>
        <v>click here to view the chart</v>
      </c>
    </row>
    <row r="374" spans="4:16" x14ac:dyDescent="0.25">
      <c r="D374" s="6" t="s">
        <v>278</v>
      </c>
      <c r="E374" s="6">
        <v>372</v>
      </c>
      <c r="F374" s="6" t="s">
        <v>405</v>
      </c>
      <c r="G374" s="16" t="s">
        <v>19</v>
      </c>
      <c r="H374" s="16" t="s">
        <v>19</v>
      </c>
      <c r="I374" s="17" t="s">
        <v>20</v>
      </c>
      <c r="J374" s="6">
        <v>1121.5</v>
      </c>
      <c r="K374" s="6">
        <v>1137</v>
      </c>
      <c r="L374" s="6">
        <v>1105</v>
      </c>
      <c r="M374" s="6">
        <v>1116.6500000000001</v>
      </c>
      <c r="N374" s="6">
        <v>1144</v>
      </c>
      <c r="O374" s="6">
        <v>219679</v>
      </c>
      <c r="P374" s="14" t="str">
        <f>HYPERLINK("https://gocharting.com/terminal?ticker=NSE:KAJARIACER&amp;layout=1","click here to view the chart")</f>
        <v>click here to view the chart</v>
      </c>
    </row>
    <row r="375" spans="4:16" x14ac:dyDescent="0.25">
      <c r="D375" s="6" t="s">
        <v>278</v>
      </c>
      <c r="E375" s="6">
        <v>373</v>
      </c>
      <c r="F375" s="6" t="s">
        <v>406</v>
      </c>
      <c r="G375" s="16" t="s">
        <v>19</v>
      </c>
      <c r="H375" s="16" t="s">
        <v>19</v>
      </c>
      <c r="I375" s="16" t="s">
        <v>17</v>
      </c>
      <c r="J375" s="6">
        <v>438.5</v>
      </c>
      <c r="K375" s="6">
        <v>439.95</v>
      </c>
      <c r="L375" s="6">
        <v>427.55</v>
      </c>
      <c r="M375" s="6">
        <v>432.95</v>
      </c>
      <c r="N375" s="6">
        <v>455.95</v>
      </c>
      <c r="O375" s="6">
        <v>180225</v>
      </c>
      <c r="P375" s="14" t="str">
        <f>HYPERLINK("https://gocharting.com/terminal?ticker=NSE:KALPATPOWR&amp;layout=1","click here to view the chart")</f>
        <v>click here to view the chart</v>
      </c>
    </row>
    <row r="376" spans="4:16" x14ac:dyDescent="0.25">
      <c r="D376" s="6" t="s">
        <v>278</v>
      </c>
      <c r="E376" s="6">
        <v>374</v>
      </c>
      <c r="F376" s="6" t="s">
        <v>407</v>
      </c>
      <c r="G376" s="15" t="s">
        <v>22</v>
      </c>
      <c r="H376" s="15" t="s">
        <v>16</v>
      </c>
      <c r="I376" s="15" t="s">
        <v>23</v>
      </c>
      <c r="J376" s="6">
        <v>86.4</v>
      </c>
      <c r="K376" s="6">
        <v>93.85</v>
      </c>
      <c r="L376" s="6">
        <v>85.75</v>
      </c>
      <c r="M376" s="6">
        <v>92.75</v>
      </c>
      <c r="N376" s="6">
        <v>87.6</v>
      </c>
      <c r="O376" s="6">
        <v>15511682</v>
      </c>
      <c r="P376" s="14" t="str">
        <f>HYPERLINK("https://gocharting.com/terminal?ticker=NSE:KARURVYSYA&amp;layout=1","click here to view the chart")</f>
        <v>click here to view the chart</v>
      </c>
    </row>
    <row r="377" spans="4:16" x14ac:dyDescent="0.25">
      <c r="D377" s="6" t="s">
        <v>278</v>
      </c>
      <c r="E377" s="6">
        <v>375</v>
      </c>
      <c r="F377" s="6" t="s">
        <v>408</v>
      </c>
      <c r="G377" s="15" t="s">
        <v>25</v>
      </c>
      <c r="H377" s="15" t="s">
        <v>16</v>
      </c>
      <c r="I377" s="17" t="s">
        <v>20</v>
      </c>
      <c r="J377" s="6">
        <v>429.95</v>
      </c>
      <c r="K377" s="6">
        <v>438.7</v>
      </c>
      <c r="L377" s="6">
        <v>424.15</v>
      </c>
      <c r="M377" s="6">
        <v>435.9</v>
      </c>
      <c r="N377" s="6">
        <v>431</v>
      </c>
      <c r="O377" s="6">
        <v>665928</v>
      </c>
      <c r="P377" s="14" t="str">
        <f>HYPERLINK("https://gocharting.com/terminal?ticker=NSE:KEC&amp;layout=1","click here to view the chart")</f>
        <v>click here to view the chart</v>
      </c>
    </row>
    <row r="378" spans="4:16" x14ac:dyDescent="0.25">
      <c r="D378" s="6" t="s">
        <v>278</v>
      </c>
      <c r="E378" s="6">
        <v>376</v>
      </c>
      <c r="F378" s="6" t="s">
        <v>409</v>
      </c>
      <c r="G378" s="15" t="s">
        <v>25</v>
      </c>
      <c r="H378" s="15" t="s">
        <v>16</v>
      </c>
      <c r="I378" s="17" t="s">
        <v>20</v>
      </c>
      <c r="J378" s="6">
        <v>1458</v>
      </c>
      <c r="K378" s="6">
        <v>1506</v>
      </c>
      <c r="L378" s="6">
        <v>1458</v>
      </c>
      <c r="M378" s="6">
        <v>1494.05</v>
      </c>
      <c r="N378" s="6">
        <v>1487</v>
      </c>
      <c r="O378" s="6">
        <v>210437</v>
      </c>
      <c r="P378" s="14" t="str">
        <f>HYPERLINK("https://gocharting.com/terminal?ticker=NSE:KEI&amp;layout=1","click here to view the chart")</f>
        <v>click here to view the chart</v>
      </c>
    </row>
    <row r="379" spans="4:16" x14ac:dyDescent="0.25">
      <c r="D379" s="6" t="s">
        <v>278</v>
      </c>
      <c r="E379" s="6">
        <v>377</v>
      </c>
      <c r="F379" s="6" t="s">
        <v>410</v>
      </c>
      <c r="G379" s="16" t="s">
        <v>19</v>
      </c>
      <c r="H379" s="16" t="s">
        <v>19</v>
      </c>
      <c r="I379" s="16" t="s">
        <v>17</v>
      </c>
      <c r="J379" s="6">
        <v>220</v>
      </c>
      <c r="K379" s="6">
        <v>220.95</v>
      </c>
      <c r="L379" s="6">
        <v>217.1</v>
      </c>
      <c r="M379" s="6">
        <v>219.45</v>
      </c>
      <c r="N379" s="6">
        <v>227.4</v>
      </c>
      <c r="O379" s="6">
        <v>96098</v>
      </c>
      <c r="P379" s="14" t="str">
        <f>HYPERLINK("https://gocharting.com/terminal?ticker=NSE:KNRCON&amp;layout=1","click here to view the chart")</f>
        <v>click here to view the chart</v>
      </c>
    </row>
    <row r="380" spans="4:16" x14ac:dyDescent="0.25">
      <c r="D380" s="6" t="s">
        <v>278</v>
      </c>
      <c r="E380" s="6">
        <v>378</v>
      </c>
      <c r="F380" s="6" t="s">
        <v>411</v>
      </c>
      <c r="G380" s="16" t="s">
        <v>19</v>
      </c>
      <c r="H380" s="16" t="s">
        <v>19</v>
      </c>
      <c r="I380" s="16" t="s">
        <v>17</v>
      </c>
      <c r="J380" s="6">
        <v>675</v>
      </c>
      <c r="K380" s="6">
        <v>679</v>
      </c>
      <c r="L380" s="6">
        <v>658.95</v>
      </c>
      <c r="M380" s="6">
        <v>660.25</v>
      </c>
      <c r="N380" s="6">
        <v>687.95</v>
      </c>
      <c r="O380" s="6">
        <v>1313671</v>
      </c>
      <c r="P380" s="14" t="str">
        <f>HYPERLINK("https://gocharting.com/terminal?ticker=NSE:KPITTECH&amp;layout=1","click here to view the chart")</f>
        <v>click here to view the chart</v>
      </c>
    </row>
    <row r="381" spans="4:16" x14ac:dyDescent="0.25">
      <c r="D381" s="6" t="s">
        <v>278</v>
      </c>
      <c r="E381" s="6">
        <v>379</v>
      </c>
      <c r="F381" s="6" t="s">
        <v>412</v>
      </c>
      <c r="G381" s="16" t="s">
        <v>15</v>
      </c>
      <c r="H381" s="15" t="s">
        <v>16</v>
      </c>
      <c r="I381" s="16" t="s">
        <v>17</v>
      </c>
      <c r="J381" s="6">
        <v>560.79999999999995</v>
      </c>
      <c r="K381" s="6">
        <v>565</v>
      </c>
      <c r="L381" s="6">
        <v>552.95000000000005</v>
      </c>
      <c r="M381" s="6">
        <v>564.20000000000005</v>
      </c>
      <c r="N381" s="6">
        <v>576</v>
      </c>
      <c r="O381" s="6">
        <v>131271</v>
      </c>
      <c r="P381" s="14" t="str">
        <f>HYPERLINK("https://gocharting.com/terminal?ticker=NSE:KPRMILL&amp;layout=1","click here to view the chart")</f>
        <v>click here to view the chart</v>
      </c>
    </row>
    <row r="382" spans="4:16" x14ac:dyDescent="0.25">
      <c r="D382" s="6" t="s">
        <v>278</v>
      </c>
      <c r="E382" s="6">
        <v>380</v>
      </c>
      <c r="F382" s="6" t="s">
        <v>413</v>
      </c>
      <c r="G382" s="16" t="s">
        <v>15</v>
      </c>
      <c r="H382" s="15" t="s">
        <v>16</v>
      </c>
      <c r="I382" s="16" t="s">
        <v>17</v>
      </c>
      <c r="J382" s="6">
        <v>395.8</v>
      </c>
      <c r="K382" s="6">
        <v>400.9</v>
      </c>
      <c r="L382" s="6">
        <v>388.25</v>
      </c>
      <c r="M382" s="6">
        <v>399.05</v>
      </c>
      <c r="N382" s="6">
        <v>407.4</v>
      </c>
      <c r="O382" s="6">
        <v>672497</v>
      </c>
      <c r="P382" s="14" t="str">
        <f>HYPERLINK("https://gocharting.com/terminal?ticker=NSE:KRBL&amp;layout=1","click here to view the chart")</f>
        <v>click here to view the chart</v>
      </c>
    </row>
    <row r="383" spans="4:16" x14ac:dyDescent="0.25">
      <c r="D383" s="6" t="s">
        <v>278</v>
      </c>
      <c r="E383" s="6">
        <v>381</v>
      </c>
      <c r="F383" s="6" t="s">
        <v>414</v>
      </c>
      <c r="G383" s="16" t="s">
        <v>15</v>
      </c>
      <c r="H383" s="15" t="s">
        <v>16</v>
      </c>
      <c r="I383" s="16" t="s">
        <v>17</v>
      </c>
      <c r="J383" s="6">
        <v>1974.3</v>
      </c>
      <c r="K383" s="6">
        <v>2000.05</v>
      </c>
      <c r="L383" s="6">
        <v>1967.05</v>
      </c>
      <c r="M383" s="6">
        <v>1991.65</v>
      </c>
      <c r="N383" s="6">
        <v>2174</v>
      </c>
      <c r="O383" s="6">
        <v>19708</v>
      </c>
      <c r="P383" s="14" t="str">
        <f>HYPERLINK("https://gocharting.com/terminal?ticker=NSE:KSB&amp;layout=1","click here to view the chart")</f>
        <v>click here to view the chart</v>
      </c>
    </row>
    <row r="384" spans="4:16" x14ac:dyDescent="0.25">
      <c r="D384" s="6" t="s">
        <v>278</v>
      </c>
      <c r="E384" s="6">
        <v>382</v>
      </c>
      <c r="F384" s="6" t="s">
        <v>415</v>
      </c>
      <c r="G384" s="16" t="s">
        <v>15</v>
      </c>
      <c r="H384" s="15" t="s">
        <v>16</v>
      </c>
      <c r="I384" s="16" t="s">
        <v>17</v>
      </c>
      <c r="J384" s="6">
        <v>423.15</v>
      </c>
      <c r="K384" s="6">
        <v>434.35</v>
      </c>
      <c r="L384" s="6">
        <v>421</v>
      </c>
      <c r="M384" s="6">
        <v>432.15</v>
      </c>
      <c r="N384" s="6">
        <v>441.4</v>
      </c>
      <c r="O384" s="6">
        <v>85551</v>
      </c>
      <c r="P384" s="14" t="str">
        <f>HYPERLINK("https://gocharting.com/terminal?ticker=NSE:KSCL&amp;layout=1","click here to view the chart")</f>
        <v>click here to view the chart</v>
      </c>
    </row>
    <row r="385" spans="4:16" x14ac:dyDescent="0.25">
      <c r="D385" s="6" t="s">
        <v>278</v>
      </c>
      <c r="E385" s="6">
        <v>383</v>
      </c>
      <c r="F385" s="6" t="s">
        <v>416</v>
      </c>
      <c r="G385" s="16" t="s">
        <v>15</v>
      </c>
      <c r="H385" s="15" t="s">
        <v>16</v>
      </c>
      <c r="I385" s="17" t="s">
        <v>20</v>
      </c>
      <c r="J385" s="6">
        <v>408</v>
      </c>
      <c r="K385" s="6">
        <v>414.95</v>
      </c>
      <c r="L385" s="6">
        <v>404</v>
      </c>
      <c r="M385" s="6">
        <v>409.1</v>
      </c>
      <c r="N385" s="6">
        <v>411.9</v>
      </c>
      <c r="O385" s="6">
        <v>557943</v>
      </c>
      <c r="P385" s="14" t="str">
        <f>HYPERLINK("https://gocharting.com/terminal?ticker=NSE:LAOPALA&amp;layout=1","click here to view the chart")</f>
        <v>click here to view the chart</v>
      </c>
    </row>
    <row r="386" spans="4:16" x14ac:dyDescent="0.25">
      <c r="D386" s="6" t="s">
        <v>278</v>
      </c>
      <c r="E386" s="6">
        <v>384</v>
      </c>
      <c r="F386" s="6" t="s">
        <v>417</v>
      </c>
      <c r="G386" s="16" t="s">
        <v>19</v>
      </c>
      <c r="H386" s="16" t="s">
        <v>19</v>
      </c>
      <c r="I386" s="16" t="s">
        <v>17</v>
      </c>
      <c r="J386" s="6">
        <v>11941.55</v>
      </c>
      <c r="K386" s="6">
        <v>12049.7</v>
      </c>
      <c r="L386" s="6">
        <v>11905.05</v>
      </c>
      <c r="M386" s="6">
        <v>11938.65</v>
      </c>
      <c r="N386" s="6">
        <v>12378</v>
      </c>
      <c r="O386" s="6">
        <v>2796</v>
      </c>
      <c r="P386" s="14" t="str">
        <f>HYPERLINK("https://gocharting.com/terminal?ticker=NSE:LAXMIMACH&amp;layout=1","click here to view the chart")</f>
        <v>click here to view the chart</v>
      </c>
    </row>
    <row r="387" spans="4:16" x14ac:dyDescent="0.25">
      <c r="D387" s="6" t="s">
        <v>278</v>
      </c>
      <c r="E387" s="6">
        <v>385</v>
      </c>
      <c r="F387" s="6" t="s">
        <v>418</v>
      </c>
      <c r="G387" s="16" t="s">
        <v>15</v>
      </c>
      <c r="H387" s="15" t="s">
        <v>16</v>
      </c>
      <c r="I387" s="16" t="s">
        <v>17</v>
      </c>
      <c r="J387" s="6">
        <v>83.7</v>
      </c>
      <c r="K387" s="6">
        <v>86.4</v>
      </c>
      <c r="L387" s="6">
        <v>83.7</v>
      </c>
      <c r="M387" s="6">
        <v>85.5</v>
      </c>
      <c r="N387" s="6">
        <v>89.25</v>
      </c>
      <c r="O387" s="6">
        <v>2848485</v>
      </c>
      <c r="P387" s="14" t="str">
        <f>HYPERLINK("https://gocharting.com/terminal?ticker=NSE:LEMONTREE&amp;layout=1","click here to view the chart")</f>
        <v>click here to view the chart</v>
      </c>
    </row>
    <row r="388" spans="4:16" x14ac:dyDescent="0.25">
      <c r="D388" s="6" t="s">
        <v>278</v>
      </c>
      <c r="E388" s="6">
        <v>386</v>
      </c>
      <c r="F388" s="6" t="s">
        <v>419</v>
      </c>
      <c r="G388" s="16" t="s">
        <v>15</v>
      </c>
      <c r="H388" s="15" t="s">
        <v>16</v>
      </c>
      <c r="I388" s="17" t="s">
        <v>20</v>
      </c>
      <c r="J388" s="6">
        <v>3149.1</v>
      </c>
      <c r="K388" s="6">
        <v>3199</v>
      </c>
      <c r="L388" s="6">
        <v>3136.05</v>
      </c>
      <c r="M388" s="6">
        <v>3184.5</v>
      </c>
      <c r="N388" s="6">
        <v>3233</v>
      </c>
      <c r="O388" s="6">
        <v>39716</v>
      </c>
      <c r="P388" s="14" t="str">
        <f>HYPERLINK("https://gocharting.com/terminal?ticker=NSE:LINDEINDIA&amp;layout=1","click here to view the chart")</f>
        <v>click here to view the chart</v>
      </c>
    </row>
    <row r="389" spans="4:16" x14ac:dyDescent="0.25">
      <c r="D389" s="6" t="s">
        <v>278</v>
      </c>
      <c r="E389" s="6">
        <v>387</v>
      </c>
      <c r="F389" s="6" t="s">
        <v>420</v>
      </c>
      <c r="G389" s="16" t="s">
        <v>19</v>
      </c>
      <c r="H389" s="16" t="s">
        <v>19</v>
      </c>
      <c r="I389" s="17" t="s">
        <v>20</v>
      </c>
      <c r="J389" s="6">
        <v>1704.15</v>
      </c>
      <c r="K389" s="6">
        <v>1708.7</v>
      </c>
      <c r="L389" s="6">
        <v>1689.05</v>
      </c>
      <c r="M389" s="6">
        <v>1702.95</v>
      </c>
      <c r="N389" s="6">
        <v>1734.95</v>
      </c>
      <c r="O389" s="6">
        <v>23412</v>
      </c>
      <c r="P389" s="14" t="str">
        <f>HYPERLINK("https://gocharting.com/terminal?ticker=NSE:LUXIND&amp;layout=1","click here to view the chart")</f>
        <v>click here to view the chart</v>
      </c>
    </row>
    <row r="390" spans="4:16" x14ac:dyDescent="0.25">
      <c r="D390" s="6" t="s">
        <v>278</v>
      </c>
      <c r="E390" s="6">
        <v>388</v>
      </c>
      <c r="F390" s="6" t="s">
        <v>421</v>
      </c>
      <c r="G390" s="16" t="s">
        <v>19</v>
      </c>
      <c r="H390" s="17" t="s">
        <v>526</v>
      </c>
      <c r="I390" s="15" t="s">
        <v>23</v>
      </c>
      <c r="J390" s="6">
        <v>19.100000000000001</v>
      </c>
      <c r="K390" s="6">
        <v>19.45</v>
      </c>
      <c r="L390" s="6">
        <v>18.899999999999999</v>
      </c>
      <c r="M390" s="6">
        <v>19.100000000000001</v>
      </c>
      <c r="N390" s="6">
        <v>19</v>
      </c>
      <c r="O390" s="6">
        <v>13038728</v>
      </c>
      <c r="P390" s="14" t="str">
        <f>HYPERLINK("https://gocharting.com/terminal?ticker=NSE:MAHABANK&amp;layout=1","click here to view the chart")</f>
        <v>click here to view the chart</v>
      </c>
    </row>
    <row r="391" spans="4:16" x14ac:dyDescent="0.25">
      <c r="D391" s="6" t="s">
        <v>278</v>
      </c>
      <c r="E391" s="6">
        <v>389</v>
      </c>
      <c r="F391" s="6" t="s">
        <v>422</v>
      </c>
      <c r="G391" s="16" t="s">
        <v>15</v>
      </c>
      <c r="H391" s="15" t="s">
        <v>16</v>
      </c>
      <c r="I391" s="16" t="s">
        <v>17</v>
      </c>
      <c r="J391" s="6">
        <v>306.8</v>
      </c>
      <c r="K391" s="6">
        <v>315.39999999999998</v>
      </c>
      <c r="L391" s="6">
        <v>306.8</v>
      </c>
      <c r="M391" s="6">
        <v>312.35000000000002</v>
      </c>
      <c r="N391" s="6">
        <v>315</v>
      </c>
      <c r="O391" s="6">
        <v>846855</v>
      </c>
      <c r="P391" s="14" t="str">
        <f>HYPERLINK("https://gocharting.com/terminal?ticker=NSE:MAHINDCIE&amp;layout=1","click here to view the chart")</f>
        <v>click here to view the chart</v>
      </c>
    </row>
    <row r="392" spans="4:16" x14ac:dyDescent="0.25">
      <c r="D392" s="6" t="s">
        <v>278</v>
      </c>
      <c r="E392" s="6">
        <v>390</v>
      </c>
      <c r="F392" s="6" t="s">
        <v>423</v>
      </c>
      <c r="G392" s="15" t="s">
        <v>22</v>
      </c>
      <c r="H392" s="15" t="s">
        <v>16</v>
      </c>
      <c r="I392" s="15" t="s">
        <v>23</v>
      </c>
      <c r="J392" s="6">
        <v>526.4</v>
      </c>
      <c r="K392" s="6">
        <v>548</v>
      </c>
      <c r="L392" s="6">
        <v>522.04999999999995</v>
      </c>
      <c r="M392" s="6">
        <v>545.35</v>
      </c>
      <c r="N392" s="6">
        <v>533.5</v>
      </c>
      <c r="O392" s="6">
        <v>357830</v>
      </c>
      <c r="P392" s="14" t="str">
        <f>HYPERLINK("https://gocharting.com/terminal?ticker=NSE:MAHLOG&amp;layout=1","click here to view the chart")</f>
        <v>click here to view the chart</v>
      </c>
    </row>
    <row r="393" spans="4:16" x14ac:dyDescent="0.25">
      <c r="D393" s="6" t="s">
        <v>278</v>
      </c>
      <c r="E393" s="6">
        <v>391</v>
      </c>
      <c r="F393" s="6" t="s">
        <v>424</v>
      </c>
      <c r="G393" s="16" t="s">
        <v>15</v>
      </c>
      <c r="H393" s="15" t="s">
        <v>16</v>
      </c>
      <c r="I393" s="16" t="s">
        <v>17</v>
      </c>
      <c r="J393" s="6">
        <v>5063.45</v>
      </c>
      <c r="K393" s="6">
        <v>5125.75</v>
      </c>
      <c r="L393" s="6">
        <v>5021.6499999999996</v>
      </c>
      <c r="M393" s="6">
        <v>5066.8500000000004</v>
      </c>
      <c r="N393" s="6">
        <v>5125.75</v>
      </c>
      <c r="O393" s="6">
        <v>4216</v>
      </c>
      <c r="P393" s="14" t="str">
        <f>HYPERLINK("https://gocharting.com/terminal?ticker=NSE:MAHSCOOTER&amp;layout=1","click here to view the chart")</f>
        <v>click here to view the chart</v>
      </c>
    </row>
    <row r="394" spans="4:16" x14ac:dyDescent="0.25">
      <c r="D394" s="6" t="s">
        <v>278</v>
      </c>
      <c r="E394" s="6">
        <v>392</v>
      </c>
      <c r="F394" s="6" t="s">
        <v>425</v>
      </c>
      <c r="G394" s="16" t="s">
        <v>19</v>
      </c>
      <c r="H394" s="16" t="s">
        <v>19</v>
      </c>
      <c r="I394" s="15" t="s">
        <v>23</v>
      </c>
      <c r="J394" s="6">
        <v>896.1</v>
      </c>
      <c r="K394" s="6">
        <v>897</v>
      </c>
      <c r="L394" s="6">
        <v>798.55</v>
      </c>
      <c r="M394" s="6">
        <v>811.1</v>
      </c>
      <c r="N394" s="6">
        <v>910</v>
      </c>
      <c r="O394" s="6">
        <v>1703297</v>
      </c>
      <c r="P394" s="14" t="str">
        <f>HYPERLINK("https://gocharting.com/terminal?ticker=NSE:MAHSEAMLES&amp;layout=1","click here to view the chart")</f>
        <v>click here to view the chart</v>
      </c>
    </row>
    <row r="395" spans="4:16" x14ac:dyDescent="0.25">
      <c r="D395" s="6" t="s">
        <v>278</v>
      </c>
      <c r="E395" s="6">
        <v>393</v>
      </c>
      <c r="F395" s="6" t="s">
        <v>426</v>
      </c>
      <c r="G395" s="15" t="s">
        <v>25</v>
      </c>
      <c r="H395" s="15" t="s">
        <v>16</v>
      </c>
      <c r="I395" s="15" t="s">
        <v>23</v>
      </c>
      <c r="J395" s="6">
        <v>782.6</v>
      </c>
      <c r="K395" s="6">
        <v>818</v>
      </c>
      <c r="L395" s="6">
        <v>775.8</v>
      </c>
      <c r="M395" s="6">
        <v>805.55</v>
      </c>
      <c r="N395" s="6">
        <v>798.9</v>
      </c>
      <c r="O395" s="6">
        <v>112338</v>
      </c>
      <c r="P395" s="14" t="str">
        <f>HYPERLINK("https://gocharting.com/terminal?ticker=NSE:MASFIN&amp;layout=1","click here to view the chart")</f>
        <v>click here to view the chart</v>
      </c>
    </row>
    <row r="396" spans="4:16" x14ac:dyDescent="0.25">
      <c r="D396" s="6" t="s">
        <v>278</v>
      </c>
      <c r="E396" s="6">
        <v>394</v>
      </c>
      <c r="F396" s="6" t="s">
        <v>427</v>
      </c>
      <c r="G396" s="16" t="s">
        <v>19</v>
      </c>
      <c r="H396" s="16" t="s">
        <v>19</v>
      </c>
      <c r="I396" s="16" t="s">
        <v>17</v>
      </c>
      <c r="J396" s="6">
        <v>625.5</v>
      </c>
      <c r="K396" s="6">
        <v>633.35</v>
      </c>
      <c r="L396" s="6">
        <v>615.65</v>
      </c>
      <c r="M396" s="6">
        <v>619.6</v>
      </c>
      <c r="N396" s="6">
        <v>643.79999999999995</v>
      </c>
      <c r="O396" s="6">
        <v>2217550</v>
      </c>
      <c r="P396" s="14" t="str">
        <f>HYPERLINK("https://gocharting.com/terminal?ticker=NSE:MAZDOCK&amp;layout=1","click here to view the chart")</f>
        <v>click here to view the chart</v>
      </c>
    </row>
    <row r="397" spans="4:16" x14ac:dyDescent="0.25">
      <c r="D397" s="6" t="s">
        <v>278</v>
      </c>
      <c r="E397" s="6">
        <v>395</v>
      </c>
      <c r="F397" s="6" t="s">
        <v>428</v>
      </c>
      <c r="G397" s="16" t="s">
        <v>15</v>
      </c>
      <c r="H397" s="15" t="s">
        <v>16</v>
      </c>
      <c r="I397" s="16" t="s">
        <v>17</v>
      </c>
      <c r="J397" s="6">
        <v>1311.25</v>
      </c>
      <c r="K397" s="6">
        <v>1323.9</v>
      </c>
      <c r="L397" s="6">
        <v>1298.4000000000001</v>
      </c>
      <c r="M397" s="6">
        <v>1313.35</v>
      </c>
      <c r="N397" s="6">
        <v>1348</v>
      </c>
      <c r="O397" s="6">
        <v>208053</v>
      </c>
      <c r="P397" s="14" t="str">
        <f>HYPERLINK("https://gocharting.com/terminal?ticker=NSE:MCX&amp;layout=1","click here to view the chart")</f>
        <v>click here to view the chart</v>
      </c>
    </row>
    <row r="398" spans="4:16" x14ac:dyDescent="0.25">
      <c r="D398" s="6" t="s">
        <v>278</v>
      </c>
      <c r="E398" s="6">
        <v>396</v>
      </c>
      <c r="F398" s="6" t="s">
        <v>429</v>
      </c>
      <c r="G398" s="15" t="s">
        <v>25</v>
      </c>
      <c r="H398" s="15" t="s">
        <v>16</v>
      </c>
      <c r="I398" s="17" t="s">
        <v>20</v>
      </c>
      <c r="J398" s="6">
        <v>279.14999999999998</v>
      </c>
      <c r="K398" s="6">
        <v>287.10000000000002</v>
      </c>
      <c r="L398" s="6">
        <v>276.14999999999998</v>
      </c>
      <c r="M398" s="6">
        <v>285.39999999999998</v>
      </c>
      <c r="N398" s="6">
        <v>283.3</v>
      </c>
      <c r="O398" s="6">
        <v>333866</v>
      </c>
      <c r="P398" s="14" t="str">
        <f>HYPERLINK("https://gocharting.com/terminal?ticker=NSE:MHRIL&amp;layout=1","click here to view the chart")</f>
        <v>click here to view the chart</v>
      </c>
    </row>
    <row r="399" spans="4:16" x14ac:dyDescent="0.25">
      <c r="D399" s="6" t="s">
        <v>278</v>
      </c>
      <c r="E399" s="6">
        <v>397</v>
      </c>
      <c r="F399" s="6" t="s">
        <v>430</v>
      </c>
      <c r="G399" s="15" t="s">
        <v>22</v>
      </c>
      <c r="H399" s="15" t="s">
        <v>16</v>
      </c>
      <c r="I399" s="16" t="s">
        <v>17</v>
      </c>
      <c r="J399" s="6">
        <v>232.35</v>
      </c>
      <c r="K399" s="6">
        <v>244.3</v>
      </c>
      <c r="L399" s="6">
        <v>231</v>
      </c>
      <c r="M399" s="6">
        <v>242.35</v>
      </c>
      <c r="N399" s="6">
        <v>240.8</v>
      </c>
      <c r="O399" s="6">
        <v>1781491</v>
      </c>
      <c r="P399" s="14" t="str">
        <f>HYPERLINK("https://gocharting.com/terminal?ticker=NSE:MIDHANI&amp;layout=1","click here to view the chart")</f>
        <v>click here to view the chart</v>
      </c>
    </row>
    <row r="400" spans="4:16" x14ac:dyDescent="0.25">
      <c r="D400" s="6" t="s">
        <v>278</v>
      </c>
      <c r="E400" s="6">
        <v>398</v>
      </c>
      <c r="F400" s="6" t="s">
        <v>431</v>
      </c>
      <c r="G400" s="16" t="s">
        <v>19</v>
      </c>
      <c r="H400" s="16" t="s">
        <v>19</v>
      </c>
      <c r="I400" s="15" t="s">
        <v>23</v>
      </c>
      <c r="J400" s="6">
        <v>201.4</v>
      </c>
      <c r="K400" s="6">
        <v>202.5</v>
      </c>
      <c r="L400" s="6">
        <v>193.45</v>
      </c>
      <c r="M400" s="6">
        <v>196.75</v>
      </c>
      <c r="N400" s="6">
        <v>211.55</v>
      </c>
      <c r="O400" s="6">
        <v>592399</v>
      </c>
      <c r="P400" s="14" t="str">
        <f>HYPERLINK("https://gocharting.com/terminal?ticker=NSE:MINDACORP&amp;layout=1","click here to view the chart")</f>
        <v>click here to view the chart</v>
      </c>
    </row>
    <row r="401" spans="4:16" x14ac:dyDescent="0.25">
      <c r="D401" s="6" t="s">
        <v>278</v>
      </c>
      <c r="E401" s="6">
        <v>399</v>
      </c>
      <c r="F401" s="6" t="s">
        <v>432</v>
      </c>
      <c r="G401" s="16" t="s">
        <v>15</v>
      </c>
      <c r="H401" s="15" t="s">
        <v>16</v>
      </c>
      <c r="I401" s="17" t="s">
        <v>20</v>
      </c>
      <c r="J401" s="6">
        <v>35.1</v>
      </c>
      <c r="K401" s="6">
        <v>35.950000000000003</v>
      </c>
      <c r="L401" s="6">
        <v>34.9</v>
      </c>
      <c r="M401" s="6">
        <v>35.200000000000003</v>
      </c>
      <c r="N401" s="6">
        <v>36.799999999999997</v>
      </c>
      <c r="O401" s="6">
        <v>1443754</v>
      </c>
      <c r="P401" s="14" t="str">
        <f>HYPERLINK("https://gocharting.com/terminal?ticker=NSE:MMTC&amp;layout=1","click here to view the chart")</f>
        <v>click here to view the chart</v>
      </c>
    </row>
    <row r="402" spans="4:16" x14ac:dyDescent="0.25">
      <c r="D402" s="6" t="s">
        <v>278</v>
      </c>
      <c r="E402" s="6">
        <v>400</v>
      </c>
      <c r="F402" s="6" t="s">
        <v>433</v>
      </c>
      <c r="G402" s="15" t="s">
        <v>25</v>
      </c>
      <c r="H402" s="15" t="s">
        <v>16</v>
      </c>
      <c r="I402" s="17" t="s">
        <v>20</v>
      </c>
      <c r="J402" s="6">
        <v>151.05000000000001</v>
      </c>
      <c r="K402" s="6">
        <v>154.5</v>
      </c>
      <c r="L402" s="6">
        <v>150.55000000000001</v>
      </c>
      <c r="M402" s="6">
        <v>153.44999999999999</v>
      </c>
      <c r="N402" s="6">
        <v>153</v>
      </c>
      <c r="O402" s="6">
        <v>100710</v>
      </c>
      <c r="P402" s="14" t="str">
        <f>HYPERLINK("https://gocharting.com/terminal?ticker=NSE:MOIL&amp;layout=1","click here to view the chart")</f>
        <v>click here to view the chart</v>
      </c>
    </row>
    <row r="403" spans="4:16" x14ac:dyDescent="0.25">
      <c r="D403" s="6" t="s">
        <v>278</v>
      </c>
      <c r="E403" s="6">
        <v>401</v>
      </c>
      <c r="F403" s="6" t="s">
        <v>434</v>
      </c>
      <c r="G403" s="16" t="s">
        <v>15</v>
      </c>
      <c r="H403" s="15" t="s">
        <v>16</v>
      </c>
      <c r="I403" s="16" t="s">
        <v>17</v>
      </c>
      <c r="J403" s="6">
        <v>56.05</v>
      </c>
      <c r="K403" s="6">
        <v>57.5</v>
      </c>
      <c r="L403" s="6">
        <v>56.05</v>
      </c>
      <c r="M403" s="6">
        <v>57.05</v>
      </c>
      <c r="N403" s="6">
        <v>59.3</v>
      </c>
      <c r="O403" s="6">
        <v>1820657</v>
      </c>
      <c r="P403" s="14" t="str">
        <f>HYPERLINK("https://gocharting.com/terminal?ticker=NSE:MRPL&amp;layout=1","click here to view the chart")</f>
        <v>click here to view the chart</v>
      </c>
    </row>
    <row r="404" spans="4:16" x14ac:dyDescent="0.25">
      <c r="D404" s="6" t="s">
        <v>278</v>
      </c>
      <c r="E404" s="6">
        <v>402</v>
      </c>
      <c r="F404" s="6" t="s">
        <v>435</v>
      </c>
      <c r="G404" s="15" t="s">
        <v>25</v>
      </c>
      <c r="H404" s="15" t="s">
        <v>16</v>
      </c>
      <c r="I404" s="17" t="s">
        <v>20</v>
      </c>
      <c r="J404" s="6">
        <v>30.6</v>
      </c>
      <c r="K404" s="6">
        <v>31.3</v>
      </c>
      <c r="L404" s="6">
        <v>30.5</v>
      </c>
      <c r="M404" s="6">
        <v>31.15</v>
      </c>
      <c r="N404" s="6">
        <v>31.1</v>
      </c>
      <c r="O404" s="6">
        <v>2529898</v>
      </c>
      <c r="P404" s="14" t="str">
        <f>HYPERLINK("https://gocharting.com/terminal?ticker=NSE:NBCC&amp;layout=1","click here to view the chart")</f>
        <v>click here to view the chart</v>
      </c>
    </row>
    <row r="405" spans="4:16" x14ac:dyDescent="0.25">
      <c r="D405" s="6" t="s">
        <v>278</v>
      </c>
      <c r="E405" s="6">
        <v>403</v>
      </c>
      <c r="F405" s="6" t="s">
        <v>436</v>
      </c>
      <c r="G405" s="16" t="s">
        <v>15</v>
      </c>
      <c r="H405" s="15" t="s">
        <v>16</v>
      </c>
      <c r="I405" s="16" t="s">
        <v>17</v>
      </c>
      <c r="J405" s="6">
        <v>70.349999999999994</v>
      </c>
      <c r="K405" s="6">
        <v>71.5</v>
      </c>
      <c r="L405" s="6">
        <v>70.150000000000006</v>
      </c>
      <c r="M405" s="6">
        <v>71.150000000000006</v>
      </c>
      <c r="N405" s="6">
        <v>71.75</v>
      </c>
      <c r="O405" s="6">
        <v>1510622</v>
      </c>
      <c r="P405" s="14" t="str">
        <f>HYPERLINK("https://gocharting.com/terminal?ticker=NSE:NCC&amp;layout=1","click here to view the chart")</f>
        <v>click here to view the chart</v>
      </c>
    </row>
    <row r="406" spans="4:16" x14ac:dyDescent="0.25">
      <c r="D406" s="6" t="s">
        <v>278</v>
      </c>
      <c r="E406" s="6">
        <v>404</v>
      </c>
      <c r="F406" s="6" t="s">
        <v>437</v>
      </c>
      <c r="G406" s="15" t="s">
        <v>25</v>
      </c>
      <c r="H406" s="15" t="s">
        <v>16</v>
      </c>
      <c r="I406" s="16" t="s">
        <v>17</v>
      </c>
      <c r="J406" s="6">
        <v>571.15</v>
      </c>
      <c r="K406" s="6">
        <v>584.75</v>
      </c>
      <c r="L406" s="6">
        <v>565</v>
      </c>
      <c r="M406" s="6">
        <v>581.85</v>
      </c>
      <c r="N406" s="6">
        <v>576</v>
      </c>
      <c r="O406" s="6">
        <v>47800</v>
      </c>
      <c r="P406" s="14" t="str">
        <f>HYPERLINK("https://gocharting.com/terminal?ticker=NSE:NESCO&amp;layout=1","click here to view the chart")</f>
        <v>click here to view the chart</v>
      </c>
    </row>
    <row r="407" spans="4:16" x14ac:dyDescent="0.25">
      <c r="D407" s="6" t="s">
        <v>278</v>
      </c>
      <c r="E407" s="6">
        <v>405</v>
      </c>
      <c r="F407" s="6" t="s">
        <v>438</v>
      </c>
      <c r="G407" s="15" t="s">
        <v>22</v>
      </c>
      <c r="H407" s="15" t="s">
        <v>16</v>
      </c>
      <c r="I407" s="15" t="s">
        <v>23</v>
      </c>
      <c r="J407" s="6">
        <v>66.45</v>
      </c>
      <c r="K407" s="6">
        <v>70.7</v>
      </c>
      <c r="L407" s="6">
        <v>65.599999999999994</v>
      </c>
      <c r="M407" s="6">
        <v>70</v>
      </c>
      <c r="N407" s="6">
        <v>69.650000000000006</v>
      </c>
      <c r="O407" s="6">
        <v>4791034</v>
      </c>
      <c r="P407" s="14" t="str">
        <f>HYPERLINK("https://gocharting.com/terminal?ticker=NSE:NETWORK18&amp;layout=1","click here to view the chart")</f>
        <v>click here to view the chart</v>
      </c>
    </row>
    <row r="408" spans="4:16" x14ac:dyDescent="0.25">
      <c r="D408" s="6" t="s">
        <v>278</v>
      </c>
      <c r="E408" s="6">
        <v>406</v>
      </c>
      <c r="F408" s="6" t="s">
        <v>439</v>
      </c>
      <c r="G408" s="16" t="s">
        <v>15</v>
      </c>
      <c r="H408" s="15" t="s">
        <v>16</v>
      </c>
      <c r="I408" s="16" t="s">
        <v>17</v>
      </c>
      <c r="J408" s="6">
        <v>47.65</v>
      </c>
      <c r="K408" s="6">
        <v>48.9</v>
      </c>
      <c r="L408" s="6">
        <v>47.4</v>
      </c>
      <c r="M408" s="6">
        <v>48.4</v>
      </c>
      <c r="N408" s="6">
        <v>49.35</v>
      </c>
      <c r="O408" s="6">
        <v>464724</v>
      </c>
      <c r="P408" s="14" t="str">
        <f>HYPERLINK("https://gocharting.com/terminal?ticker=NSE:NFL&amp;layout=1","click here to view the chart")</f>
        <v>click here to view the chart</v>
      </c>
    </row>
    <row r="409" spans="4:16" x14ac:dyDescent="0.25">
      <c r="D409" s="6" t="s">
        <v>278</v>
      </c>
      <c r="E409" s="6">
        <v>407</v>
      </c>
      <c r="F409" s="6" t="s">
        <v>440</v>
      </c>
      <c r="G409" s="16" t="s">
        <v>15</v>
      </c>
      <c r="H409" s="15" t="s">
        <v>16</v>
      </c>
      <c r="I409" s="16" t="s">
        <v>17</v>
      </c>
      <c r="J409" s="6">
        <v>725.25</v>
      </c>
      <c r="K409" s="6">
        <v>739.9</v>
      </c>
      <c r="L409" s="6">
        <v>718.6</v>
      </c>
      <c r="M409" s="6">
        <v>730.9</v>
      </c>
      <c r="N409" s="6">
        <v>749</v>
      </c>
      <c r="O409" s="6">
        <v>125610</v>
      </c>
      <c r="P409" s="14" t="str">
        <f>HYPERLINK("https://gocharting.com/terminal?ticker=NSE:NH&amp;layout=1","click here to view the chart")</f>
        <v>click here to view the chart</v>
      </c>
    </row>
    <row r="410" spans="4:16" x14ac:dyDescent="0.25">
      <c r="D410" s="6" t="s">
        <v>278</v>
      </c>
      <c r="E410" s="6">
        <v>408</v>
      </c>
      <c r="F410" s="6" t="s">
        <v>441</v>
      </c>
      <c r="G410" s="16" t="s">
        <v>15</v>
      </c>
      <c r="H410" s="15" t="s">
        <v>16</v>
      </c>
      <c r="I410" s="16" t="s">
        <v>17</v>
      </c>
      <c r="J410" s="6">
        <v>2047.8</v>
      </c>
      <c r="K410" s="6">
        <v>2090.25</v>
      </c>
      <c r="L410" s="6">
        <v>1990</v>
      </c>
      <c r="M410" s="6">
        <v>2075.35</v>
      </c>
      <c r="N410" s="6">
        <v>2090.9499999999998</v>
      </c>
      <c r="O410" s="6">
        <v>2637</v>
      </c>
      <c r="P410" s="14" t="str">
        <f>HYPERLINK("https://gocharting.com/terminal?ticker=NSE:NILKAMAL&amp;layout=1","click here to view the chart")</f>
        <v>click here to view the chart</v>
      </c>
    </row>
    <row r="411" spans="4:16" x14ac:dyDescent="0.25">
      <c r="D411" s="6" t="s">
        <v>278</v>
      </c>
      <c r="E411" s="6">
        <v>409</v>
      </c>
      <c r="F411" s="6" t="s">
        <v>442</v>
      </c>
      <c r="G411" s="16" t="s">
        <v>15</v>
      </c>
      <c r="H411" s="15" t="s">
        <v>16</v>
      </c>
      <c r="I411" s="17" t="s">
        <v>20</v>
      </c>
      <c r="J411" s="6">
        <v>68.650000000000006</v>
      </c>
      <c r="K411" s="6">
        <v>70.8</v>
      </c>
      <c r="L411" s="6">
        <v>68.05</v>
      </c>
      <c r="M411" s="6">
        <v>70.05</v>
      </c>
      <c r="N411" s="6">
        <v>70.849999999999994</v>
      </c>
      <c r="O411" s="6">
        <v>2783737</v>
      </c>
      <c r="P411" s="14" t="str">
        <f>HYPERLINK("https://gocharting.com/terminal?ticker=NSE:NLCINDIA&amp;layout=1","click here to view the chart")</f>
        <v>click here to view the chart</v>
      </c>
    </row>
    <row r="412" spans="4:16" x14ac:dyDescent="0.25">
      <c r="D412" s="6" t="s">
        <v>278</v>
      </c>
      <c r="E412" s="6">
        <v>410</v>
      </c>
      <c r="F412" s="6" t="s">
        <v>443</v>
      </c>
      <c r="G412" s="16" t="s">
        <v>15</v>
      </c>
      <c r="H412" s="15" t="s">
        <v>16</v>
      </c>
      <c r="I412" s="16" t="s">
        <v>17</v>
      </c>
      <c r="J412" s="6">
        <v>253.95</v>
      </c>
      <c r="K412" s="6">
        <v>260</v>
      </c>
      <c r="L412" s="6">
        <v>253.95</v>
      </c>
      <c r="M412" s="6">
        <v>259.39999999999998</v>
      </c>
      <c r="N412" s="6">
        <v>260</v>
      </c>
      <c r="O412" s="6">
        <v>335517</v>
      </c>
      <c r="P412" s="14" t="str">
        <f>HYPERLINK("https://gocharting.com/terminal?ticker=NSE:NOCIL&amp;layout=1","click here to view the chart")</f>
        <v>click here to view the chart</v>
      </c>
    </row>
    <row r="413" spans="4:16" x14ac:dyDescent="0.25">
      <c r="D413" s="6" t="s">
        <v>278</v>
      </c>
      <c r="E413" s="6">
        <v>411</v>
      </c>
      <c r="F413" s="6" t="s">
        <v>444</v>
      </c>
      <c r="G413" s="16" t="s">
        <v>15</v>
      </c>
      <c r="H413" s="15" t="s">
        <v>16</v>
      </c>
      <c r="I413" s="16" t="s">
        <v>17</v>
      </c>
      <c r="J413" s="6">
        <v>268</v>
      </c>
      <c r="K413" s="6">
        <v>274.3</v>
      </c>
      <c r="L413" s="6">
        <v>268</v>
      </c>
      <c r="M413" s="6">
        <v>272.7</v>
      </c>
      <c r="N413" s="6">
        <v>274.45</v>
      </c>
      <c r="O413" s="6">
        <v>85991</v>
      </c>
      <c r="P413" s="14" t="str">
        <f>HYPERLINK("https://gocharting.com/terminal?ticker=NSE:ORIENTELEC&amp;layout=1","click here to view the chart")</f>
        <v>click here to view the chart</v>
      </c>
    </row>
    <row r="414" spans="4:16" x14ac:dyDescent="0.25">
      <c r="D414" s="6" t="s">
        <v>278</v>
      </c>
      <c r="E414" s="6">
        <v>412</v>
      </c>
      <c r="F414" s="6" t="s">
        <v>445</v>
      </c>
      <c r="G414" s="6" t="s">
        <v>199</v>
      </c>
      <c r="H414" s="6"/>
      <c r="I414" s="6"/>
      <c r="J414" s="6"/>
      <c r="K414" s="6"/>
      <c r="L414" s="6"/>
      <c r="M414" s="6"/>
      <c r="P414" s="14" t="str">
        <f>HYPERLINK("https://gocharting.com/terminal?ticker=NSE:ORIENTREF&amp;layout=1","click here to view the chart")</f>
        <v>click here to view the chart</v>
      </c>
    </row>
    <row r="415" spans="4:16" x14ac:dyDescent="0.25">
      <c r="D415" s="6" t="s">
        <v>278</v>
      </c>
      <c r="E415" s="6">
        <v>413</v>
      </c>
      <c r="F415" s="6" t="s">
        <v>446</v>
      </c>
      <c r="G415" s="6" t="s">
        <v>199</v>
      </c>
      <c r="H415" s="6"/>
      <c r="I415" s="6"/>
      <c r="J415" s="6"/>
      <c r="K415" s="6"/>
      <c r="L415" s="6"/>
      <c r="M415" s="6"/>
      <c r="P415" s="14" t="str">
        <f>HYPERLINK("https://gocharting.com/terminal?ticker=NSE:PHILIPCARB&amp;layout=1","click here to view the chart")</f>
        <v>click here to view the chart</v>
      </c>
    </row>
    <row r="416" spans="4:16" x14ac:dyDescent="0.25">
      <c r="D416" s="6" t="s">
        <v>278</v>
      </c>
      <c r="E416" s="6">
        <v>414</v>
      </c>
      <c r="F416" s="6" t="s">
        <v>447</v>
      </c>
      <c r="G416" s="16" t="s">
        <v>15</v>
      </c>
      <c r="H416" s="15" t="s">
        <v>16</v>
      </c>
      <c r="I416" s="17" t="s">
        <v>20</v>
      </c>
      <c r="J416" s="6">
        <v>390.3</v>
      </c>
      <c r="K416" s="6">
        <v>397.85</v>
      </c>
      <c r="L416" s="6">
        <v>388.35</v>
      </c>
      <c r="M416" s="6">
        <v>393.6</v>
      </c>
      <c r="N416" s="6">
        <v>398.1</v>
      </c>
      <c r="O416" s="6">
        <v>189428</v>
      </c>
      <c r="P416" s="14" t="str">
        <f>HYPERLINK("https://gocharting.com/terminal?ticker=NSE:PNBHOUSING&amp;layout=1","click here to view the chart")</f>
        <v>click here to view the chart</v>
      </c>
    </row>
    <row r="417" spans="4:16" x14ac:dyDescent="0.25">
      <c r="D417" s="6" t="s">
        <v>278</v>
      </c>
      <c r="E417" s="6">
        <v>415</v>
      </c>
      <c r="F417" s="6" t="s">
        <v>448</v>
      </c>
      <c r="G417" s="16" t="s">
        <v>19</v>
      </c>
      <c r="H417" s="16" t="s">
        <v>19</v>
      </c>
      <c r="I417" s="17" t="s">
        <v>20</v>
      </c>
      <c r="J417" s="6">
        <v>263.95</v>
      </c>
      <c r="K417" s="6">
        <v>264.5</v>
      </c>
      <c r="L417" s="6">
        <v>260.60000000000002</v>
      </c>
      <c r="M417" s="6">
        <v>262.60000000000002</v>
      </c>
      <c r="N417" s="6">
        <v>267.55</v>
      </c>
      <c r="O417" s="6">
        <v>191005</v>
      </c>
      <c r="P417" s="14" t="str">
        <f>HYPERLINK("https://gocharting.com/terminal?ticker=NSE:PNCINFRA&amp;layout=1","click here to view the chart")</f>
        <v>click here to view the chart</v>
      </c>
    </row>
    <row r="418" spans="4:16" x14ac:dyDescent="0.25">
      <c r="D418" s="6" t="s">
        <v>278</v>
      </c>
      <c r="E418" s="6">
        <v>416</v>
      </c>
      <c r="F418" s="6" t="s">
        <v>449</v>
      </c>
      <c r="G418" s="16" t="s">
        <v>15</v>
      </c>
      <c r="H418" s="15" t="s">
        <v>16</v>
      </c>
      <c r="I418" s="16" t="s">
        <v>17</v>
      </c>
      <c r="J418" s="6">
        <v>944.85</v>
      </c>
      <c r="K418" s="6">
        <v>967.45</v>
      </c>
      <c r="L418" s="6">
        <v>935.3</v>
      </c>
      <c r="M418" s="6">
        <v>960.2</v>
      </c>
      <c r="N418" s="6">
        <v>997.7</v>
      </c>
      <c r="O418" s="6">
        <v>33027</v>
      </c>
      <c r="P418" s="14" t="str">
        <f>HYPERLINK("https://gocharting.com/terminal?ticker=NSE:POLYMED&amp;layout=1","click here to view the chart")</f>
        <v>click here to view the chart</v>
      </c>
    </row>
    <row r="419" spans="4:16" x14ac:dyDescent="0.25">
      <c r="D419" s="6" t="s">
        <v>278</v>
      </c>
      <c r="E419" s="6">
        <v>417</v>
      </c>
      <c r="F419" s="6" t="s">
        <v>450</v>
      </c>
      <c r="G419" s="16" t="s">
        <v>19</v>
      </c>
      <c r="H419" s="16" t="s">
        <v>19</v>
      </c>
      <c r="I419" s="15" t="s">
        <v>23</v>
      </c>
      <c r="J419" s="6">
        <v>1750.1</v>
      </c>
      <c r="K419" s="6">
        <v>1768</v>
      </c>
      <c r="L419" s="6">
        <v>1700</v>
      </c>
      <c r="M419" s="6">
        <v>1702.65</v>
      </c>
      <c r="N419" s="6">
        <v>1901</v>
      </c>
      <c r="O419" s="6">
        <v>307519</v>
      </c>
      <c r="P419" s="14" t="str">
        <f>HYPERLINK("https://gocharting.com/terminal?ticker=NSE:POLYPLEX&amp;layout=1","click here to view the chart")</f>
        <v>click here to view the chart</v>
      </c>
    </row>
    <row r="420" spans="4:16" x14ac:dyDescent="0.25">
      <c r="D420" s="6" t="s">
        <v>278</v>
      </c>
      <c r="E420" s="6">
        <v>418</v>
      </c>
      <c r="F420" s="6" t="s">
        <v>451</v>
      </c>
      <c r="G420" s="16" t="s">
        <v>19</v>
      </c>
      <c r="H420" s="16" t="s">
        <v>19</v>
      </c>
      <c r="I420" s="17" t="s">
        <v>20</v>
      </c>
      <c r="J420" s="6">
        <v>3375</v>
      </c>
      <c r="K420" s="6">
        <v>3430</v>
      </c>
      <c r="L420" s="6">
        <v>3307</v>
      </c>
      <c r="M420" s="6">
        <v>3337.9</v>
      </c>
      <c r="N420" s="6">
        <v>3469</v>
      </c>
      <c r="O420" s="6">
        <v>20270</v>
      </c>
      <c r="P420" s="14" t="str">
        <f>HYPERLINK("https://gocharting.com/terminal?ticker=NSE:POWERINDIA&amp;layout=1","click here to view the chart")</f>
        <v>click here to view the chart</v>
      </c>
    </row>
    <row r="421" spans="4:16" x14ac:dyDescent="0.25">
      <c r="D421" s="6" t="s">
        <v>278</v>
      </c>
      <c r="E421" s="6">
        <v>419</v>
      </c>
      <c r="F421" s="6" t="s">
        <v>452</v>
      </c>
      <c r="G421" s="16" t="s">
        <v>19</v>
      </c>
      <c r="H421" s="16" t="s">
        <v>19</v>
      </c>
      <c r="I421" s="17" t="s">
        <v>20</v>
      </c>
      <c r="J421" s="6">
        <v>572</v>
      </c>
      <c r="K421" s="6">
        <v>573.85</v>
      </c>
      <c r="L421" s="6">
        <v>560</v>
      </c>
      <c r="M421" s="6">
        <v>567.1</v>
      </c>
      <c r="N421" s="6">
        <v>585.9</v>
      </c>
      <c r="O421" s="6">
        <v>124293</v>
      </c>
      <c r="P421" s="14" t="str">
        <f>HYPERLINK("https://gocharting.com/terminal?ticker=NSE:PRINCEPIPE&amp;layout=1","click here to view the chart")</f>
        <v>click here to view the chart</v>
      </c>
    </row>
    <row r="422" spans="4:16" x14ac:dyDescent="0.25">
      <c r="D422" s="6" t="s">
        <v>278</v>
      </c>
      <c r="E422" s="6">
        <v>420</v>
      </c>
      <c r="F422" s="6" t="s">
        <v>453</v>
      </c>
      <c r="G422" s="16" t="s">
        <v>15</v>
      </c>
      <c r="H422" s="15" t="s">
        <v>16</v>
      </c>
      <c r="I422" s="16" t="s">
        <v>17</v>
      </c>
      <c r="J422" s="6">
        <v>123.2</v>
      </c>
      <c r="K422" s="6">
        <v>125.8</v>
      </c>
      <c r="L422" s="6">
        <v>122.1</v>
      </c>
      <c r="M422" s="6">
        <v>124.45</v>
      </c>
      <c r="N422" s="6">
        <v>126.6</v>
      </c>
      <c r="O422" s="6">
        <v>105137</v>
      </c>
      <c r="P422" s="14" t="str">
        <f>HYPERLINK("https://gocharting.com/terminal?ticker=NSE:PRSMJOHNSN&amp;layout=1","click here to view the chart")</f>
        <v>click here to view the chart</v>
      </c>
    </row>
    <row r="423" spans="4:16" x14ac:dyDescent="0.25">
      <c r="D423" s="6" t="s">
        <v>278</v>
      </c>
      <c r="E423" s="6">
        <v>421</v>
      </c>
      <c r="F423" s="6" t="s">
        <v>454</v>
      </c>
      <c r="G423" s="16" t="s">
        <v>19</v>
      </c>
      <c r="H423" s="16" t="s">
        <v>19</v>
      </c>
      <c r="I423" s="16" t="s">
        <v>17</v>
      </c>
      <c r="J423" s="6">
        <v>580.79999999999995</v>
      </c>
      <c r="K423" s="6">
        <v>582.5</v>
      </c>
      <c r="L423" s="6">
        <v>568.79999999999995</v>
      </c>
      <c r="M423" s="6">
        <v>574.35</v>
      </c>
      <c r="N423" s="6">
        <v>609.75</v>
      </c>
      <c r="O423" s="6">
        <v>64456</v>
      </c>
      <c r="P423" s="14" t="str">
        <f>HYPERLINK("https://gocharting.com/terminal?ticker=NSE:QUESS&amp;layout=1","click here to view the chart")</f>
        <v>click here to view the chart</v>
      </c>
    </row>
    <row r="424" spans="4:16" x14ac:dyDescent="0.25">
      <c r="D424" s="6" t="s">
        <v>278</v>
      </c>
      <c r="E424" s="6">
        <v>422</v>
      </c>
      <c r="F424" s="6" t="s">
        <v>455</v>
      </c>
      <c r="G424" s="16" t="s">
        <v>15</v>
      </c>
      <c r="H424" s="15" t="s">
        <v>16</v>
      </c>
      <c r="I424" s="16" t="s">
        <v>17</v>
      </c>
      <c r="J424" s="6">
        <v>1040</v>
      </c>
      <c r="K424" s="6">
        <v>1060</v>
      </c>
      <c r="L424" s="6">
        <v>1030.5999999999999</v>
      </c>
      <c r="M424" s="6">
        <v>1053.3</v>
      </c>
      <c r="N424" s="6">
        <v>1085</v>
      </c>
      <c r="O424" s="6">
        <v>141560</v>
      </c>
      <c r="P424" s="14" t="str">
        <f>HYPERLINK("https://gocharting.com/terminal?ticker=NSE:RADICO&amp;layout=1","click here to view the chart")</f>
        <v>click here to view the chart</v>
      </c>
    </row>
    <row r="425" spans="4:16" x14ac:dyDescent="0.25">
      <c r="D425" s="6" t="s">
        <v>278</v>
      </c>
      <c r="E425" s="6">
        <v>423</v>
      </c>
      <c r="F425" s="6" t="s">
        <v>456</v>
      </c>
      <c r="G425" s="16" t="s">
        <v>19</v>
      </c>
      <c r="H425" s="16" t="s">
        <v>19</v>
      </c>
      <c r="I425" s="16" t="s">
        <v>17</v>
      </c>
      <c r="J425" s="6">
        <v>167</v>
      </c>
      <c r="K425" s="6">
        <v>168.5</v>
      </c>
      <c r="L425" s="6">
        <v>164.15</v>
      </c>
      <c r="M425" s="6">
        <v>165.35</v>
      </c>
      <c r="N425" s="6">
        <v>173.2</v>
      </c>
      <c r="O425" s="6">
        <v>746746</v>
      </c>
      <c r="P425" s="14" t="str">
        <f>HYPERLINK("https://gocharting.com/terminal?ticker=NSE:RAIN&amp;layout=1","click here to view the chart")</f>
        <v>click here to view the chart</v>
      </c>
    </row>
    <row r="426" spans="4:16" x14ac:dyDescent="0.25">
      <c r="D426" s="6" t="s">
        <v>278</v>
      </c>
      <c r="E426" s="6">
        <v>424</v>
      </c>
      <c r="F426" s="6" t="s">
        <v>457</v>
      </c>
      <c r="G426" s="15" t="s">
        <v>25</v>
      </c>
      <c r="H426" s="15" t="s">
        <v>16</v>
      </c>
      <c r="I426" s="15" t="s">
        <v>23</v>
      </c>
      <c r="J426" s="6">
        <v>214.25</v>
      </c>
      <c r="K426" s="6">
        <v>220.45</v>
      </c>
      <c r="L426" s="6">
        <v>212.9</v>
      </c>
      <c r="M426" s="6">
        <v>219.1</v>
      </c>
      <c r="N426" s="6">
        <v>215</v>
      </c>
      <c r="O426" s="6">
        <v>328911</v>
      </c>
      <c r="P426" s="14" t="str">
        <f>HYPERLINK("https://gocharting.com/terminal?ticker=NSE:RALLIS&amp;layout=1","click here to view the chart")</f>
        <v>click here to view the chart</v>
      </c>
    </row>
    <row r="427" spans="4:16" x14ac:dyDescent="0.25">
      <c r="D427" s="6" t="s">
        <v>278</v>
      </c>
      <c r="E427" s="6">
        <v>425</v>
      </c>
      <c r="F427" s="6" t="s">
        <v>458</v>
      </c>
      <c r="G427" s="16" t="s">
        <v>19</v>
      </c>
      <c r="H427" s="16" t="s">
        <v>19</v>
      </c>
      <c r="I427" s="17" t="s">
        <v>20</v>
      </c>
      <c r="J427" s="6">
        <v>2022</v>
      </c>
      <c r="K427" s="6">
        <v>2043.55</v>
      </c>
      <c r="L427" s="6">
        <v>1984.65</v>
      </c>
      <c r="M427" s="6">
        <v>2013.3</v>
      </c>
      <c r="N427" s="6">
        <v>2135</v>
      </c>
      <c r="O427" s="6">
        <v>24361</v>
      </c>
      <c r="P427" s="14" t="str">
        <f>HYPERLINK("https://gocharting.com/terminal?ticker=NSE:RATNAMANI&amp;layout=1","click here to view the chart")</f>
        <v>click here to view the chart</v>
      </c>
    </row>
    <row r="428" spans="4:16" x14ac:dyDescent="0.25">
      <c r="D428" s="6" t="s">
        <v>278</v>
      </c>
      <c r="E428" s="6">
        <v>426</v>
      </c>
      <c r="F428" s="6" t="s">
        <v>459</v>
      </c>
      <c r="G428" s="16" t="s">
        <v>15</v>
      </c>
      <c r="H428" s="15" t="s">
        <v>16</v>
      </c>
      <c r="I428" s="16" t="s">
        <v>17</v>
      </c>
      <c r="J428" s="6">
        <v>1147.6500000000001</v>
      </c>
      <c r="K428" s="6">
        <v>1180</v>
      </c>
      <c r="L428" s="6">
        <v>1141.8</v>
      </c>
      <c r="M428" s="6">
        <v>1167.95</v>
      </c>
      <c r="N428" s="6">
        <v>1287.7</v>
      </c>
      <c r="O428" s="6">
        <v>518622</v>
      </c>
      <c r="P428" s="14" t="str">
        <f>HYPERLINK("https://gocharting.com/terminal?ticker=NSE:RAYMOND&amp;layout=1","click here to view the chart")</f>
        <v>click here to view the chart</v>
      </c>
    </row>
    <row r="429" spans="4:16" x14ac:dyDescent="0.25">
      <c r="D429" s="6" t="s">
        <v>278</v>
      </c>
      <c r="E429" s="6">
        <v>427</v>
      </c>
      <c r="F429" s="6" t="s">
        <v>460</v>
      </c>
      <c r="G429" s="16" t="s">
        <v>15</v>
      </c>
      <c r="H429" s="15" t="s">
        <v>16</v>
      </c>
      <c r="I429" s="17" t="s">
        <v>20</v>
      </c>
      <c r="J429" s="6">
        <v>93.4</v>
      </c>
      <c r="K429" s="6">
        <v>95.4</v>
      </c>
      <c r="L429" s="6">
        <v>92.55</v>
      </c>
      <c r="M429" s="6">
        <v>95.05</v>
      </c>
      <c r="N429" s="6">
        <v>97.2</v>
      </c>
      <c r="O429" s="6">
        <v>2894438</v>
      </c>
      <c r="P429" s="14" t="str">
        <f>HYPERLINK("https://gocharting.com/terminal?ticker=NSE:RCF&amp;layout=1","click here to view the chart")</f>
        <v>click here to view the chart</v>
      </c>
    </row>
    <row r="430" spans="4:16" x14ac:dyDescent="0.25">
      <c r="D430" s="6" t="s">
        <v>278</v>
      </c>
      <c r="E430" s="6">
        <v>428</v>
      </c>
      <c r="F430" s="6" t="s">
        <v>461</v>
      </c>
      <c r="G430" s="16" t="s">
        <v>15</v>
      </c>
      <c r="H430" s="15" t="s">
        <v>16</v>
      </c>
      <c r="I430" s="16" t="s">
        <v>17</v>
      </c>
      <c r="J430" s="6">
        <v>138.5</v>
      </c>
      <c r="K430" s="6">
        <v>139.5</v>
      </c>
      <c r="L430" s="6">
        <v>136.5</v>
      </c>
      <c r="M430" s="6">
        <v>138.75</v>
      </c>
      <c r="N430" s="6">
        <v>139.55000000000001</v>
      </c>
      <c r="O430" s="6">
        <v>959123</v>
      </c>
      <c r="P430" s="14" t="str">
        <f>HYPERLINK("https://gocharting.com/terminal?ticker=NSE:REDINGTON&amp;layout=1","click here to view the chart")</f>
        <v>click here to view the chart</v>
      </c>
    </row>
    <row r="431" spans="4:16" x14ac:dyDescent="0.25">
      <c r="D431" s="6" t="s">
        <v>278</v>
      </c>
      <c r="E431" s="6">
        <v>429</v>
      </c>
      <c r="F431" s="6" t="s">
        <v>462</v>
      </c>
      <c r="G431" s="16" t="s">
        <v>19</v>
      </c>
      <c r="H431" s="16" t="s">
        <v>19</v>
      </c>
      <c r="I431" s="16" t="s">
        <v>17</v>
      </c>
      <c r="J431" s="6">
        <v>138.15</v>
      </c>
      <c r="K431" s="6">
        <v>140.15</v>
      </c>
      <c r="L431" s="6">
        <v>136.35</v>
      </c>
      <c r="M431" s="6">
        <v>137.9</v>
      </c>
      <c r="N431" s="6">
        <v>142.5</v>
      </c>
      <c r="O431" s="6">
        <v>12670</v>
      </c>
      <c r="P431" s="14" t="str">
        <f>HYPERLINK("https://gocharting.com/terminal?ticker=NSE:RESPONIND&amp;layout=1","click here to view the chart")</f>
        <v>click here to view the chart</v>
      </c>
    </row>
    <row r="432" spans="4:16" x14ac:dyDescent="0.25">
      <c r="D432" s="6" t="s">
        <v>278</v>
      </c>
      <c r="E432" s="6">
        <v>430</v>
      </c>
      <c r="F432" s="6" t="s">
        <v>463</v>
      </c>
      <c r="G432" s="16" t="s">
        <v>15</v>
      </c>
      <c r="H432" s="15" t="s">
        <v>16</v>
      </c>
      <c r="I432" s="16" t="s">
        <v>17</v>
      </c>
      <c r="J432" s="6">
        <v>382.9</v>
      </c>
      <c r="K432" s="6">
        <v>393.65</v>
      </c>
      <c r="L432" s="6">
        <v>375.7</v>
      </c>
      <c r="M432" s="6">
        <v>388.15</v>
      </c>
      <c r="N432" s="6">
        <v>404.9</v>
      </c>
      <c r="O432" s="6">
        <v>1608305</v>
      </c>
      <c r="P432" s="14" t="str">
        <f>HYPERLINK("https://gocharting.com/terminal?ticker=NSE:RITES&amp;layout=1","click here to view the chart")</f>
        <v>click here to view the chart</v>
      </c>
    </row>
    <row r="433" spans="4:16" x14ac:dyDescent="0.25">
      <c r="D433" s="6" t="s">
        <v>278</v>
      </c>
      <c r="E433" s="6">
        <v>431</v>
      </c>
      <c r="F433" s="6" t="s">
        <v>464</v>
      </c>
      <c r="G433" s="16" t="s">
        <v>19</v>
      </c>
      <c r="H433" s="16" t="s">
        <v>19</v>
      </c>
      <c r="I433" s="17" t="s">
        <v>20</v>
      </c>
      <c r="J433" s="6">
        <v>917</v>
      </c>
      <c r="K433" s="6">
        <v>931.95</v>
      </c>
      <c r="L433" s="6">
        <v>911.4</v>
      </c>
      <c r="M433" s="6">
        <v>915.65</v>
      </c>
      <c r="N433" s="6">
        <v>928.95</v>
      </c>
      <c r="O433" s="6">
        <v>22944</v>
      </c>
      <c r="P433" s="14" t="str">
        <f>HYPERLINK("https://gocharting.com/terminal?ticker=NSE:ROSSARI&amp;layout=1","click here to view the chart")</f>
        <v>click here to view the chart</v>
      </c>
    </row>
    <row r="434" spans="4:16" x14ac:dyDescent="0.25">
      <c r="D434" s="6" t="s">
        <v>278</v>
      </c>
      <c r="E434" s="6">
        <v>432</v>
      </c>
      <c r="F434" s="6" t="s">
        <v>465</v>
      </c>
      <c r="G434" s="16" t="s">
        <v>19</v>
      </c>
      <c r="H434" s="16" t="s">
        <v>19</v>
      </c>
      <c r="I434" s="16" t="s">
        <v>17</v>
      </c>
      <c r="J434" s="6">
        <v>1388.85</v>
      </c>
      <c r="K434" s="6">
        <v>1392.55</v>
      </c>
      <c r="L434" s="6">
        <v>1375.4</v>
      </c>
      <c r="M434" s="6">
        <v>1380.5</v>
      </c>
      <c r="N434" s="6">
        <v>1434.5</v>
      </c>
      <c r="O434" s="6">
        <v>57393</v>
      </c>
      <c r="P434" s="14" t="str">
        <f>HYPERLINK("https://gocharting.com/terminal?ticker=NSE:ROUTE&amp;layout=1","click here to view the chart")</f>
        <v>click here to view the chart</v>
      </c>
    </row>
    <row r="435" spans="4:16" x14ac:dyDescent="0.25">
      <c r="D435" s="6" t="s">
        <v>278</v>
      </c>
      <c r="E435" s="6">
        <v>433</v>
      </c>
      <c r="F435" s="6" t="s">
        <v>466</v>
      </c>
      <c r="G435" s="16" t="s">
        <v>19</v>
      </c>
      <c r="H435" s="16" t="s">
        <v>19</v>
      </c>
      <c r="I435" s="16" t="s">
        <v>17</v>
      </c>
      <c r="J435" s="6">
        <v>38.25</v>
      </c>
      <c r="K435" s="6">
        <v>38.6</v>
      </c>
      <c r="L435" s="6">
        <v>37.5</v>
      </c>
      <c r="M435" s="6">
        <v>37.85</v>
      </c>
      <c r="N435" s="6">
        <v>38.299999999999997</v>
      </c>
      <c r="O435" s="6">
        <v>9051597</v>
      </c>
      <c r="P435" s="14" t="str">
        <f>HYPERLINK("https://gocharting.com/terminal?ticker=NSE:RVNL&amp;layout=1","click here to view the chart")</f>
        <v>click here to view the chart</v>
      </c>
    </row>
    <row r="436" spans="4:16" x14ac:dyDescent="0.25">
      <c r="D436" s="6" t="s">
        <v>278</v>
      </c>
      <c r="E436" s="6">
        <v>434</v>
      </c>
      <c r="F436" s="6" t="s">
        <v>467</v>
      </c>
      <c r="G436" s="16" t="s">
        <v>15</v>
      </c>
      <c r="H436" s="15" t="s">
        <v>16</v>
      </c>
      <c r="I436" s="16" t="s">
        <v>17</v>
      </c>
      <c r="J436" s="6">
        <v>175.8</v>
      </c>
      <c r="K436" s="6">
        <v>177.45</v>
      </c>
      <c r="L436" s="6">
        <v>173.25</v>
      </c>
      <c r="M436" s="6">
        <v>176.05</v>
      </c>
      <c r="N436" s="6">
        <v>181.4</v>
      </c>
      <c r="O436" s="6">
        <v>468478</v>
      </c>
      <c r="P436" s="14" t="str">
        <f>HYPERLINK("https://gocharting.com/terminal?ticker=NSE:SCHNEIDER&amp;layout=1","click here to view the chart")</f>
        <v>click here to view the chart</v>
      </c>
    </row>
    <row r="437" spans="4:16" x14ac:dyDescent="0.25">
      <c r="D437" s="6" t="s">
        <v>278</v>
      </c>
      <c r="E437" s="6">
        <v>435</v>
      </c>
      <c r="F437" s="6" t="s">
        <v>468</v>
      </c>
      <c r="G437" s="16" t="s">
        <v>15</v>
      </c>
      <c r="H437" s="15" t="s">
        <v>16</v>
      </c>
      <c r="I437" s="16" t="s">
        <v>17</v>
      </c>
      <c r="J437" s="6">
        <v>117.95</v>
      </c>
      <c r="K437" s="6">
        <v>118.85</v>
      </c>
      <c r="L437" s="6">
        <v>117.4</v>
      </c>
      <c r="M437" s="6">
        <v>118.2</v>
      </c>
      <c r="N437" s="6">
        <v>122.45</v>
      </c>
      <c r="O437" s="6">
        <v>423273</v>
      </c>
      <c r="P437" s="14" t="str">
        <f>HYPERLINK("https://gocharting.com/terminal?ticker=NSE:SCI&amp;layout=1","click here to view the chart")</f>
        <v>click here to view the chart</v>
      </c>
    </row>
    <row r="438" spans="4:16" x14ac:dyDescent="0.25">
      <c r="D438" s="6" t="s">
        <v>278</v>
      </c>
      <c r="E438" s="6">
        <v>436</v>
      </c>
      <c r="F438" s="6" t="s">
        <v>469</v>
      </c>
      <c r="G438" s="16" t="s">
        <v>19</v>
      </c>
      <c r="H438" s="16" t="s">
        <v>19</v>
      </c>
      <c r="I438" s="16" t="s">
        <v>17</v>
      </c>
      <c r="J438" s="6">
        <v>103.9</v>
      </c>
      <c r="K438" s="6">
        <v>104.8</v>
      </c>
      <c r="L438" s="6">
        <v>101.5</v>
      </c>
      <c r="M438" s="6">
        <v>101.85</v>
      </c>
      <c r="N438" s="6">
        <v>106.7</v>
      </c>
      <c r="O438" s="6">
        <v>405289</v>
      </c>
      <c r="P438" s="14" t="str">
        <f>HYPERLINK("https://gocharting.com/terminal?ticker=NSE:SEQUENT&amp;layout=1","click here to view the chart")</f>
        <v>click here to view the chart</v>
      </c>
    </row>
    <row r="439" spans="4:16" x14ac:dyDescent="0.25">
      <c r="D439" s="6" t="s">
        <v>278</v>
      </c>
      <c r="E439" s="6">
        <v>437</v>
      </c>
      <c r="F439" s="6" t="s">
        <v>470</v>
      </c>
      <c r="G439" s="16" t="s">
        <v>15</v>
      </c>
      <c r="H439" s="15" t="s">
        <v>16</v>
      </c>
      <c r="I439" s="16" t="s">
        <v>17</v>
      </c>
      <c r="J439" s="6">
        <v>2615.8000000000002</v>
      </c>
      <c r="K439" s="6">
        <v>2708.95</v>
      </c>
      <c r="L439" s="6">
        <v>2603</v>
      </c>
      <c r="M439" s="6">
        <v>2661.4</v>
      </c>
      <c r="N439" s="6">
        <v>2695</v>
      </c>
      <c r="O439" s="6">
        <v>23000</v>
      </c>
      <c r="P439" s="14" t="str">
        <f>HYPERLINK("https://gocharting.com/terminal?ticker=NSE:SFL&amp;layout=1","click here to view the chart")</f>
        <v>click here to view the chart</v>
      </c>
    </row>
    <row r="440" spans="4:16" x14ac:dyDescent="0.25">
      <c r="D440" s="6" t="s">
        <v>278</v>
      </c>
      <c r="E440" s="6">
        <v>438</v>
      </c>
      <c r="F440" s="6" t="s">
        <v>471</v>
      </c>
      <c r="G440" s="16" t="s">
        <v>15</v>
      </c>
      <c r="H440" s="15" t="s">
        <v>16</v>
      </c>
      <c r="I440" s="16" t="s">
        <v>17</v>
      </c>
      <c r="J440" s="6">
        <v>431</v>
      </c>
      <c r="K440" s="6">
        <v>441.95</v>
      </c>
      <c r="L440" s="6">
        <v>429.6</v>
      </c>
      <c r="M440" s="6">
        <v>436.55</v>
      </c>
      <c r="N440" s="6">
        <v>442.4</v>
      </c>
      <c r="O440" s="6">
        <v>89019</v>
      </c>
      <c r="P440" s="14" t="str">
        <f>HYPERLINK("https://gocharting.com/terminal?ticker=NSE:SHARDACROP&amp;layout=1","click here to view the chart")</f>
        <v>click here to view the chart</v>
      </c>
    </row>
    <row r="441" spans="4:16" x14ac:dyDescent="0.25">
      <c r="D441" s="6" t="s">
        <v>278</v>
      </c>
      <c r="E441" s="6">
        <v>439</v>
      </c>
      <c r="F441" s="6" t="s">
        <v>472</v>
      </c>
      <c r="G441" s="16" t="s">
        <v>19</v>
      </c>
      <c r="H441" s="16" t="s">
        <v>19</v>
      </c>
      <c r="I441" s="16" t="s">
        <v>17</v>
      </c>
      <c r="J441" s="6">
        <v>343.45</v>
      </c>
      <c r="K441" s="6">
        <v>348.35</v>
      </c>
      <c r="L441" s="6">
        <v>338</v>
      </c>
      <c r="M441" s="6">
        <v>339.8</v>
      </c>
      <c r="N441" s="6">
        <v>361.65</v>
      </c>
      <c r="O441" s="6">
        <v>72722</v>
      </c>
      <c r="P441" s="14" t="str">
        <f>HYPERLINK("https://gocharting.com/terminal?ticker=NSE:SHILPAMED&amp;layout=1","click here to view the chart")</f>
        <v>click here to view the chart</v>
      </c>
    </row>
    <row r="442" spans="4:16" x14ac:dyDescent="0.25">
      <c r="D442" s="6" t="s">
        <v>278</v>
      </c>
      <c r="E442" s="6">
        <v>440</v>
      </c>
      <c r="F442" s="6" t="s">
        <v>473</v>
      </c>
      <c r="G442" s="16" t="s">
        <v>15</v>
      </c>
      <c r="H442" s="15" t="s">
        <v>16</v>
      </c>
      <c r="I442" s="16" t="s">
        <v>17</v>
      </c>
      <c r="J442" s="6">
        <v>768</v>
      </c>
      <c r="K442" s="6">
        <v>792.9</v>
      </c>
      <c r="L442" s="6">
        <v>759.45</v>
      </c>
      <c r="M442" s="6">
        <v>778.8</v>
      </c>
      <c r="N442" s="6">
        <v>788</v>
      </c>
      <c r="O442" s="6">
        <v>71002</v>
      </c>
      <c r="P442" s="14" t="str">
        <f>HYPERLINK("https://gocharting.com/terminal?ticker=NSE:SHOPERSTOP&amp;layout=1","click here to view the chart")</f>
        <v>click here to view the chart</v>
      </c>
    </row>
    <row r="443" spans="4:16" x14ac:dyDescent="0.25">
      <c r="D443" s="6" t="s">
        <v>278</v>
      </c>
      <c r="E443" s="6">
        <v>441</v>
      </c>
      <c r="F443" s="6" t="s">
        <v>474</v>
      </c>
      <c r="G443" s="15" t="s">
        <v>22</v>
      </c>
      <c r="H443" s="15" t="s">
        <v>16</v>
      </c>
      <c r="I443" s="17" t="s">
        <v>20</v>
      </c>
      <c r="J443" s="6">
        <v>1762.35</v>
      </c>
      <c r="K443" s="6">
        <v>1809.85</v>
      </c>
      <c r="L443" s="6">
        <v>1750.05</v>
      </c>
      <c r="M443" s="6">
        <v>1803.05</v>
      </c>
      <c r="N443" s="6">
        <v>1766.25</v>
      </c>
      <c r="O443" s="6">
        <v>36532</v>
      </c>
      <c r="P443" s="14" t="str">
        <f>HYPERLINK("https://gocharting.com/terminal?ticker=NSE:SHRIRAMCIT&amp;layout=1","click here to view the chart")</f>
        <v>click here to view the chart</v>
      </c>
    </row>
    <row r="444" spans="4:16" x14ac:dyDescent="0.25">
      <c r="D444" s="6" t="s">
        <v>278</v>
      </c>
      <c r="E444" s="6">
        <v>442</v>
      </c>
      <c r="F444" s="6" t="s">
        <v>475</v>
      </c>
      <c r="G444" s="16" t="s">
        <v>15</v>
      </c>
      <c r="H444" s="15" t="s">
        <v>16</v>
      </c>
      <c r="I444" s="16" t="s">
        <v>17</v>
      </c>
      <c r="J444" s="6">
        <v>419</v>
      </c>
      <c r="K444" s="6">
        <v>422.2</v>
      </c>
      <c r="L444" s="6">
        <v>414</v>
      </c>
      <c r="M444" s="6">
        <v>420.25</v>
      </c>
      <c r="N444" s="6">
        <v>427.4</v>
      </c>
      <c r="O444" s="6">
        <v>17387</v>
      </c>
      <c r="P444" s="14" t="str">
        <f>HYPERLINK("https://gocharting.com/terminal?ticker=NSE:SIS&amp;layout=1","click here to view the chart")</f>
        <v>click here to view the chart</v>
      </c>
    </row>
    <row r="445" spans="4:16" x14ac:dyDescent="0.25">
      <c r="D445" s="6" t="s">
        <v>278</v>
      </c>
      <c r="E445" s="6">
        <v>443</v>
      </c>
      <c r="F445" s="6" t="s">
        <v>476</v>
      </c>
      <c r="G445" s="16" t="s">
        <v>15</v>
      </c>
      <c r="H445" s="15" t="s">
        <v>16</v>
      </c>
      <c r="I445" s="15" t="s">
        <v>23</v>
      </c>
      <c r="J445" s="6">
        <v>638.54999999999995</v>
      </c>
      <c r="K445" s="6">
        <v>652.45000000000005</v>
      </c>
      <c r="L445" s="6">
        <v>638.54999999999995</v>
      </c>
      <c r="M445" s="6">
        <v>642.35</v>
      </c>
      <c r="N445" s="6">
        <v>652</v>
      </c>
      <c r="O445" s="6">
        <v>368479</v>
      </c>
      <c r="P445" s="14" t="str">
        <f>HYPERLINK("https://gocharting.com/terminal?ticker=NSE:SOBHA&amp;layout=1","click here to view the chart")</f>
        <v>click here to view the chart</v>
      </c>
    </row>
    <row r="446" spans="4:16" x14ac:dyDescent="0.25">
      <c r="D446" s="6" t="s">
        <v>278</v>
      </c>
      <c r="E446" s="6">
        <v>444</v>
      </c>
      <c r="F446" s="6" t="s">
        <v>477</v>
      </c>
      <c r="G446" s="16" t="s">
        <v>15</v>
      </c>
      <c r="H446" s="15" t="s">
        <v>16</v>
      </c>
      <c r="I446" s="16" t="s">
        <v>17</v>
      </c>
      <c r="J446" s="6">
        <v>413.35</v>
      </c>
      <c r="K446" s="6">
        <v>431.35</v>
      </c>
      <c r="L446" s="6">
        <v>412.5</v>
      </c>
      <c r="M446" s="6">
        <v>421.65</v>
      </c>
      <c r="N446" s="6">
        <v>431.5</v>
      </c>
      <c r="O446" s="6">
        <v>65654</v>
      </c>
      <c r="P446" s="14" t="str">
        <f>HYPERLINK("https://gocharting.com/terminal?ticker=NSE:SOLARA&amp;layout=1","click here to view the chart")</f>
        <v>click here to view the chart</v>
      </c>
    </row>
    <row r="447" spans="4:16" x14ac:dyDescent="0.25">
      <c r="D447" s="6" t="s">
        <v>278</v>
      </c>
      <c r="E447" s="6">
        <v>445</v>
      </c>
      <c r="F447" s="6" t="s">
        <v>478</v>
      </c>
      <c r="G447" s="16" t="s">
        <v>19</v>
      </c>
      <c r="H447" s="16" t="s">
        <v>19</v>
      </c>
      <c r="I447" s="15" t="s">
        <v>23</v>
      </c>
      <c r="J447" s="6">
        <v>506.05</v>
      </c>
      <c r="K447" s="6">
        <v>512.4</v>
      </c>
      <c r="L447" s="6">
        <v>493</v>
      </c>
      <c r="M447" s="6">
        <v>502.45</v>
      </c>
      <c r="N447" s="6">
        <v>521.04999999999995</v>
      </c>
      <c r="O447" s="6">
        <v>444446</v>
      </c>
      <c r="P447" s="14" t="str">
        <f>HYPERLINK("https://gocharting.com/terminal?ticker=NSE:SONATSOFTW&amp;layout=1","click here to view the chart")</f>
        <v>click here to view the chart</v>
      </c>
    </row>
    <row r="448" spans="4:16" x14ac:dyDescent="0.25">
      <c r="D448" s="6" t="s">
        <v>278</v>
      </c>
      <c r="E448" s="6">
        <v>446</v>
      </c>
      <c r="F448" s="6" t="s">
        <v>479</v>
      </c>
      <c r="G448" s="16" t="s">
        <v>199</v>
      </c>
      <c r="H448" s="16" t="s">
        <v>19</v>
      </c>
      <c r="I448" s="16" t="s">
        <v>17</v>
      </c>
      <c r="J448" s="6">
        <v>598.45000000000005</v>
      </c>
      <c r="K448" s="6">
        <v>606</v>
      </c>
      <c r="L448" s="6">
        <v>567.6</v>
      </c>
      <c r="M448" s="6">
        <v>576.1</v>
      </c>
      <c r="N448" s="6">
        <v>627</v>
      </c>
      <c r="O448" s="6">
        <v>221835</v>
      </c>
      <c r="P448" s="14" t="str">
        <f>HYPERLINK("https://gocharting.com/terminal?ticker=NSE:SPANDANA&amp;layout=1","click here to view the chart")</f>
        <v>click here to view the chart</v>
      </c>
    </row>
    <row r="449" spans="4:16" x14ac:dyDescent="0.25">
      <c r="D449" s="6" t="s">
        <v>278</v>
      </c>
      <c r="E449" s="6">
        <v>447</v>
      </c>
      <c r="F449" s="6" t="s">
        <v>480</v>
      </c>
      <c r="G449" s="16" t="s">
        <v>15</v>
      </c>
      <c r="H449" s="15" t="s">
        <v>16</v>
      </c>
      <c r="I449" s="16" t="s">
        <v>17</v>
      </c>
      <c r="J449" s="6">
        <v>225</v>
      </c>
      <c r="K449" s="6">
        <v>229.7</v>
      </c>
      <c r="L449" s="6">
        <v>224</v>
      </c>
      <c r="M449" s="6">
        <v>227.6</v>
      </c>
      <c r="N449" s="6">
        <v>242.2</v>
      </c>
      <c r="O449" s="6">
        <v>748962</v>
      </c>
      <c r="P449" s="14" t="str">
        <f>HYPERLINK("https://gocharting.com/terminal?ticker=NSE:SPARC&amp;layout=1","click here to view the chart")</f>
        <v>click here to view the chart</v>
      </c>
    </row>
    <row r="450" spans="4:16" x14ac:dyDescent="0.25">
      <c r="D450" s="6" t="s">
        <v>278</v>
      </c>
      <c r="E450" s="6">
        <v>448</v>
      </c>
      <c r="F450" s="6" t="s">
        <v>481</v>
      </c>
      <c r="G450" s="16" t="s">
        <v>15</v>
      </c>
      <c r="H450" s="15" t="s">
        <v>16</v>
      </c>
      <c r="I450" s="16" t="s">
        <v>17</v>
      </c>
      <c r="J450" s="6">
        <v>38.549999999999997</v>
      </c>
      <c r="K450" s="6">
        <v>39</v>
      </c>
      <c r="L450" s="6">
        <v>38.35</v>
      </c>
      <c r="M450" s="6">
        <v>38.700000000000003</v>
      </c>
      <c r="N450" s="6">
        <v>40</v>
      </c>
      <c r="O450" s="6">
        <v>611826</v>
      </c>
      <c r="P450" s="14" t="str">
        <f>HYPERLINK("https://gocharting.com/terminal?ticker=NSE:SPICEJET&amp;layout=1","click here to view the chart")</f>
        <v>click here to view the chart</v>
      </c>
    </row>
    <row r="451" spans="4:16" x14ac:dyDescent="0.25">
      <c r="D451" s="6" t="s">
        <v>278</v>
      </c>
      <c r="E451" s="6">
        <v>449</v>
      </c>
      <c r="F451" s="6" t="s">
        <v>482</v>
      </c>
      <c r="G451" s="16" t="s">
        <v>19</v>
      </c>
      <c r="H451" s="16" t="s">
        <v>19</v>
      </c>
      <c r="I451" s="16" t="s">
        <v>17</v>
      </c>
      <c r="J451" s="6">
        <v>308</v>
      </c>
      <c r="K451" s="6">
        <v>311.45</v>
      </c>
      <c r="L451" s="6">
        <v>302.39999999999998</v>
      </c>
      <c r="M451" s="6">
        <v>303.25</v>
      </c>
      <c r="N451" s="6">
        <v>322.39999999999998</v>
      </c>
      <c r="O451" s="6">
        <v>319117</v>
      </c>
      <c r="P451" s="14" t="str">
        <f>HYPERLINK("https://gocharting.com/terminal?ticker=NSE:STAR&amp;layout=1","click here to view the chart")</f>
        <v>click here to view the chart</v>
      </c>
    </row>
    <row r="452" spans="4:16" x14ac:dyDescent="0.25">
      <c r="D452" s="6" t="s">
        <v>278</v>
      </c>
      <c r="E452" s="6">
        <v>450</v>
      </c>
      <c r="F452" s="6" t="s">
        <v>483</v>
      </c>
      <c r="G452" s="16" t="s">
        <v>19</v>
      </c>
      <c r="H452" s="16" t="s">
        <v>19</v>
      </c>
      <c r="I452" s="16" t="s">
        <v>17</v>
      </c>
      <c r="J452" s="6">
        <v>106.15</v>
      </c>
      <c r="K452" s="6">
        <v>106.9</v>
      </c>
      <c r="L452" s="6">
        <v>105</v>
      </c>
      <c r="M452" s="6">
        <v>105.8</v>
      </c>
      <c r="N452" s="6">
        <v>111.3</v>
      </c>
      <c r="O452" s="6">
        <v>108261</v>
      </c>
      <c r="P452" s="14" t="str">
        <f>HYPERLINK("https://gocharting.com/terminal?ticker=NSE:STARCEMENT&amp;layout=1","click here to view the chart")</f>
        <v>click here to view the chart</v>
      </c>
    </row>
    <row r="453" spans="4:16" x14ac:dyDescent="0.25">
      <c r="D453" s="6" t="s">
        <v>278</v>
      </c>
      <c r="E453" s="6">
        <v>451</v>
      </c>
      <c r="F453" s="6" t="s">
        <v>484</v>
      </c>
      <c r="G453" s="16" t="s">
        <v>19</v>
      </c>
      <c r="H453" s="16" t="s">
        <v>19</v>
      </c>
      <c r="I453" s="16" t="s">
        <v>17</v>
      </c>
      <c r="J453" s="6">
        <v>165.8</v>
      </c>
      <c r="K453" s="6">
        <v>166.9</v>
      </c>
      <c r="L453" s="6">
        <v>161.69999999999999</v>
      </c>
      <c r="M453" s="6">
        <v>162.25</v>
      </c>
      <c r="N453" s="6">
        <v>174.7</v>
      </c>
      <c r="O453" s="6">
        <v>625537</v>
      </c>
      <c r="P453" s="14" t="str">
        <f>HYPERLINK("https://gocharting.com/terminal?ticker=NSE:STLTECH&amp;layout=1","click here to view the chart")</f>
        <v>click here to view the chart</v>
      </c>
    </row>
    <row r="454" spans="4:16" x14ac:dyDescent="0.25">
      <c r="D454" s="6" t="s">
        <v>278</v>
      </c>
      <c r="E454" s="6">
        <v>452</v>
      </c>
      <c r="F454" s="6" t="s">
        <v>485</v>
      </c>
      <c r="G454" s="16" t="s">
        <v>19</v>
      </c>
      <c r="H454" s="16" t="s">
        <v>19</v>
      </c>
      <c r="I454" s="17" t="s">
        <v>20</v>
      </c>
      <c r="J454" s="6">
        <v>407.55</v>
      </c>
      <c r="K454" s="6">
        <v>409.4</v>
      </c>
      <c r="L454" s="6">
        <v>400.4</v>
      </c>
      <c r="M454" s="6">
        <v>405.05</v>
      </c>
      <c r="N454" s="6">
        <v>423.9</v>
      </c>
      <c r="O454" s="6">
        <v>205887</v>
      </c>
      <c r="P454" s="14" t="str">
        <f>HYPERLINK("https://gocharting.com/terminal?ticker=NSE:SUDARSCHEM&amp;layout=1","click here to view the chart")</f>
        <v>click here to view the chart</v>
      </c>
    </row>
    <row r="455" spans="4:16" x14ac:dyDescent="0.25">
      <c r="D455" s="6" t="s">
        <v>278</v>
      </c>
      <c r="E455" s="6">
        <v>453</v>
      </c>
      <c r="F455" s="6" t="s">
        <v>486</v>
      </c>
      <c r="G455" s="15" t="s">
        <v>25</v>
      </c>
      <c r="H455" s="15" t="s">
        <v>16</v>
      </c>
      <c r="I455" s="15" t="s">
        <v>23</v>
      </c>
      <c r="J455" s="6">
        <v>4420.95</v>
      </c>
      <c r="K455" s="6">
        <v>4548</v>
      </c>
      <c r="L455" s="6">
        <v>4400</v>
      </c>
      <c r="M455" s="6">
        <v>4520.95</v>
      </c>
      <c r="N455" s="6">
        <v>4507.95</v>
      </c>
      <c r="O455" s="6">
        <v>2888</v>
      </c>
      <c r="P455" s="14" t="str">
        <f>HYPERLINK("https://gocharting.com/terminal?ticker=NSE:SUNCLAYLTD&amp;layout=1","click here to view the chart")</f>
        <v>click here to view the chart</v>
      </c>
    </row>
    <row r="456" spans="4:16" x14ac:dyDescent="0.25">
      <c r="D456" s="6" t="s">
        <v>278</v>
      </c>
      <c r="E456" s="6">
        <v>454</v>
      </c>
      <c r="F456" s="6" t="s">
        <v>487</v>
      </c>
      <c r="G456" s="16" t="s">
        <v>19</v>
      </c>
      <c r="H456" s="16" t="s">
        <v>19</v>
      </c>
      <c r="I456" s="17" t="s">
        <v>20</v>
      </c>
      <c r="J456" s="6">
        <v>391.85</v>
      </c>
      <c r="K456" s="6">
        <v>399</v>
      </c>
      <c r="L456" s="6">
        <v>381.6</v>
      </c>
      <c r="M456" s="6">
        <v>385.7</v>
      </c>
      <c r="N456" s="6">
        <v>403.9</v>
      </c>
      <c r="O456" s="6">
        <v>411625</v>
      </c>
      <c r="P456" s="14" t="str">
        <f>HYPERLINK("https://gocharting.com/terminal?ticker=NSE:SUNTECK&amp;layout=1","click here to view the chart")</f>
        <v>click here to view the chart</v>
      </c>
    </row>
    <row r="457" spans="4:16" x14ac:dyDescent="0.25">
      <c r="D457" s="6" t="s">
        <v>278</v>
      </c>
      <c r="E457" s="6">
        <v>455</v>
      </c>
      <c r="F457" s="6" t="s">
        <v>488</v>
      </c>
      <c r="G457" s="16" t="s">
        <v>199</v>
      </c>
      <c r="H457" s="15" t="s">
        <v>16</v>
      </c>
      <c r="I457" s="17" t="s">
        <v>20</v>
      </c>
      <c r="J457" s="6">
        <v>695</v>
      </c>
      <c r="K457" s="6">
        <v>726.5</v>
      </c>
      <c r="L457" s="6">
        <v>689.7</v>
      </c>
      <c r="M457" s="6">
        <v>725.25</v>
      </c>
      <c r="N457" s="6">
        <v>740</v>
      </c>
      <c r="O457" s="6">
        <v>103053</v>
      </c>
      <c r="P457" s="14" t="str">
        <f>HYPERLINK("https://gocharting.com/terminal?ticker=NSE:SUPPETRO&amp;layout=1","click here to view the chart")</f>
        <v>click here to view the chart</v>
      </c>
    </row>
    <row r="458" spans="4:16" x14ac:dyDescent="0.25">
      <c r="D458" s="6" t="s">
        <v>278</v>
      </c>
      <c r="E458" s="6">
        <v>456</v>
      </c>
      <c r="F458" s="6" t="s">
        <v>489</v>
      </c>
      <c r="G458" s="16" t="s">
        <v>19</v>
      </c>
      <c r="H458" s="16" t="s">
        <v>19</v>
      </c>
      <c r="I458" s="16" t="s">
        <v>17</v>
      </c>
      <c r="J458" s="6">
        <v>327.05</v>
      </c>
      <c r="K458" s="6">
        <v>328</v>
      </c>
      <c r="L458" s="6">
        <v>321.60000000000002</v>
      </c>
      <c r="M458" s="6">
        <v>325.95</v>
      </c>
      <c r="N458" s="6">
        <v>329.85</v>
      </c>
      <c r="O458" s="6">
        <v>61581</v>
      </c>
      <c r="P458" s="14" t="str">
        <f>HYPERLINK("https://gocharting.com/terminal?ticker=NSE:SUPRAJIT&amp;layout=1","click here to view the chart")</f>
        <v>click here to view the chart</v>
      </c>
    </row>
    <row r="459" spans="4:16" x14ac:dyDescent="0.25">
      <c r="D459" s="6" t="s">
        <v>278</v>
      </c>
      <c r="E459" s="6">
        <v>457</v>
      </c>
      <c r="F459" s="6" t="s">
        <v>490</v>
      </c>
      <c r="G459" s="15" t="s">
        <v>25</v>
      </c>
      <c r="H459" s="15" t="s">
        <v>16</v>
      </c>
      <c r="I459" s="17" t="s">
        <v>20</v>
      </c>
      <c r="J459" s="6">
        <v>7.65</v>
      </c>
      <c r="K459" s="6">
        <v>7.9</v>
      </c>
      <c r="L459" s="6">
        <v>7.55</v>
      </c>
      <c r="M459" s="6">
        <v>7.75</v>
      </c>
      <c r="N459" s="6">
        <v>7.6</v>
      </c>
      <c r="O459" s="6">
        <v>198163274</v>
      </c>
      <c r="P459" s="14" t="str">
        <f>HYPERLINK("https://gocharting.com/terminal?ticker=NSE:SUZLON&amp;layout=1","click here to view the chart")</f>
        <v>click here to view the chart</v>
      </c>
    </row>
    <row r="460" spans="4:16" x14ac:dyDescent="0.25">
      <c r="D460" s="6" t="s">
        <v>278</v>
      </c>
      <c r="E460" s="6">
        <v>458</v>
      </c>
      <c r="F460" s="6" t="s">
        <v>491</v>
      </c>
      <c r="G460" s="16" t="s">
        <v>19</v>
      </c>
      <c r="H460" s="16" t="s">
        <v>19</v>
      </c>
      <c r="I460" s="17" t="s">
        <v>20</v>
      </c>
      <c r="J460" s="6">
        <v>209.65</v>
      </c>
      <c r="K460" s="6">
        <v>211.7</v>
      </c>
      <c r="L460" s="6">
        <v>203</v>
      </c>
      <c r="M460" s="6">
        <v>206.65</v>
      </c>
      <c r="N460" s="6">
        <v>219.55</v>
      </c>
      <c r="O460" s="6">
        <v>132309</v>
      </c>
      <c r="P460" s="14" t="str">
        <f>HYPERLINK("https://gocharting.com/terminal?ticker=NSE:SWANENERGY&amp;layout=1","click here to view the chart")</f>
        <v>click here to view the chart</v>
      </c>
    </row>
    <row r="461" spans="4:16" x14ac:dyDescent="0.25">
      <c r="D461" s="6" t="s">
        <v>278</v>
      </c>
      <c r="E461" s="6">
        <v>459</v>
      </c>
      <c r="F461" s="6" t="s">
        <v>492</v>
      </c>
      <c r="G461" s="16" t="s">
        <v>19</v>
      </c>
      <c r="H461" s="16" t="s">
        <v>19</v>
      </c>
      <c r="I461" s="16" t="s">
        <v>17</v>
      </c>
      <c r="J461" s="6">
        <v>291.89999999999998</v>
      </c>
      <c r="K461" s="6">
        <v>295</v>
      </c>
      <c r="L461" s="6">
        <v>290.85000000000002</v>
      </c>
      <c r="M461" s="6">
        <v>291.60000000000002</v>
      </c>
      <c r="N461" s="6">
        <v>308.8</v>
      </c>
      <c r="O461" s="6">
        <v>128946</v>
      </c>
      <c r="P461" s="14" t="str">
        <f>HYPERLINK("https://gocharting.com/terminal?ticker=NSE:SWSOLAR&amp;layout=1","click here to view the chart")</f>
        <v>click here to view the chart</v>
      </c>
    </row>
    <row r="462" spans="4:16" x14ac:dyDescent="0.25">
      <c r="D462" s="6" t="s">
        <v>278</v>
      </c>
      <c r="E462" s="6">
        <v>460</v>
      </c>
      <c r="F462" s="6" t="s">
        <v>493</v>
      </c>
      <c r="G462" s="16" t="s">
        <v>15</v>
      </c>
      <c r="H462" s="15" t="s">
        <v>16</v>
      </c>
      <c r="I462" s="16" t="s">
        <v>17</v>
      </c>
      <c r="J462" s="6">
        <v>856.7</v>
      </c>
      <c r="K462" s="6">
        <v>869.95</v>
      </c>
      <c r="L462" s="6">
        <v>855.55</v>
      </c>
      <c r="M462" s="6">
        <v>867.4</v>
      </c>
      <c r="N462" s="6">
        <v>875</v>
      </c>
      <c r="O462" s="6">
        <v>22242</v>
      </c>
      <c r="P462" s="14" t="str">
        <f>HYPERLINK("https://gocharting.com/terminal?ticker=NSE:SYMPHONY&amp;layout=1","click here to view the chart")</f>
        <v>click here to view the chart</v>
      </c>
    </row>
    <row r="463" spans="4:16" x14ac:dyDescent="0.25">
      <c r="D463" s="6" t="s">
        <v>278</v>
      </c>
      <c r="E463" s="6">
        <v>461</v>
      </c>
      <c r="F463" s="6" t="s">
        <v>494</v>
      </c>
      <c r="G463" s="16" t="s">
        <v>19</v>
      </c>
      <c r="H463" s="16" t="s">
        <v>19</v>
      </c>
      <c r="I463" s="16" t="s">
        <v>17</v>
      </c>
      <c r="J463" s="6">
        <v>809</v>
      </c>
      <c r="K463" s="6">
        <v>817.6</v>
      </c>
      <c r="L463" s="6">
        <v>800.1</v>
      </c>
      <c r="M463" s="6">
        <v>801.85</v>
      </c>
      <c r="N463" s="6">
        <v>872.3</v>
      </c>
      <c r="O463" s="6">
        <v>259634</v>
      </c>
      <c r="P463" s="14" t="str">
        <f>HYPERLINK("https://gocharting.com/terminal?ticker=NSE:TANLA&amp;layout=1","click here to view the chart")</f>
        <v>click here to view the chart</v>
      </c>
    </row>
    <row r="464" spans="4:16" x14ac:dyDescent="0.25">
      <c r="D464" s="6" t="s">
        <v>278</v>
      </c>
      <c r="E464" s="6">
        <v>462</v>
      </c>
      <c r="F464" s="6" t="s">
        <v>495</v>
      </c>
      <c r="G464" s="16" t="s">
        <v>19</v>
      </c>
      <c r="H464" s="16" t="s">
        <v>19</v>
      </c>
      <c r="I464" s="16" t="s">
        <v>17</v>
      </c>
      <c r="J464" s="6">
        <v>12122.15</v>
      </c>
      <c r="K464" s="6">
        <v>12122.2</v>
      </c>
      <c r="L464" s="6">
        <v>11800</v>
      </c>
      <c r="M464" s="6">
        <v>11870.9</v>
      </c>
      <c r="N464" s="6">
        <v>12425</v>
      </c>
      <c r="O464" s="6">
        <v>700</v>
      </c>
      <c r="P464" s="14" t="str">
        <f>HYPERLINK("https://gocharting.com/terminal?ticker=NSE:TASTYBITE&amp;layout=1","click here to view the chart")</f>
        <v>click here to view the chart</v>
      </c>
    </row>
    <row r="465" spans="4:16" x14ac:dyDescent="0.25">
      <c r="D465" s="6" t="s">
        <v>278</v>
      </c>
      <c r="E465" s="6">
        <v>463</v>
      </c>
      <c r="F465" s="6" t="s">
        <v>496</v>
      </c>
      <c r="G465" s="16" t="s">
        <v>19</v>
      </c>
      <c r="H465" s="16" t="s">
        <v>19</v>
      </c>
      <c r="I465" s="15" t="s">
        <v>23</v>
      </c>
      <c r="J465" s="6">
        <v>220</v>
      </c>
      <c r="K465" s="6">
        <v>220</v>
      </c>
      <c r="L465" s="6">
        <v>216.35</v>
      </c>
      <c r="M465" s="6">
        <v>218.05</v>
      </c>
      <c r="N465" s="6">
        <v>218.4</v>
      </c>
      <c r="O465" s="6">
        <v>2094627</v>
      </c>
      <c r="P465" s="14" t="str">
        <f>HYPERLINK("https://gocharting.com/terminal?ticker=NSE:TATACOFFEE&amp;layout=1","click here to view the chart")</f>
        <v>click here to view the chart</v>
      </c>
    </row>
    <row r="466" spans="4:16" x14ac:dyDescent="0.25">
      <c r="D466" s="6" t="s">
        <v>278</v>
      </c>
      <c r="E466" s="6">
        <v>464</v>
      </c>
      <c r="F466" s="6" t="s">
        <v>497</v>
      </c>
      <c r="G466" s="16" t="s">
        <v>19</v>
      </c>
      <c r="H466" s="16" t="s">
        <v>19</v>
      </c>
      <c r="I466" s="16" t="s">
        <v>17</v>
      </c>
      <c r="J466" s="6">
        <v>2415</v>
      </c>
      <c r="K466" s="6">
        <v>2415.1999999999998</v>
      </c>
      <c r="L466" s="6">
        <v>2349.9</v>
      </c>
      <c r="M466" s="6">
        <v>2370.5500000000002</v>
      </c>
      <c r="N466" s="6">
        <v>2450</v>
      </c>
      <c r="O466" s="6">
        <v>36321</v>
      </c>
      <c r="P466" s="14" t="str">
        <f>HYPERLINK("https://gocharting.com/terminal?ticker=NSE:TATAINVEST&amp;layout=1","click here to view the chart")</f>
        <v>click here to view the chart</v>
      </c>
    </row>
    <row r="467" spans="4:16" x14ac:dyDescent="0.25">
      <c r="D467" s="6" t="s">
        <v>278</v>
      </c>
      <c r="E467" s="6">
        <v>465</v>
      </c>
      <c r="F467" s="6" t="s">
        <v>498</v>
      </c>
      <c r="G467" s="16" t="s">
        <v>15</v>
      </c>
      <c r="H467" s="15" t="s">
        <v>16</v>
      </c>
      <c r="I467" s="17" t="s">
        <v>20</v>
      </c>
      <c r="J467" s="6">
        <v>1886.5</v>
      </c>
      <c r="K467" s="6">
        <v>1906.9</v>
      </c>
      <c r="L467" s="6">
        <v>1875.3</v>
      </c>
      <c r="M467" s="6">
        <v>1899.7</v>
      </c>
      <c r="N467" s="6">
        <v>1929.05</v>
      </c>
      <c r="O467" s="6">
        <v>21301</v>
      </c>
      <c r="P467" s="14" t="str">
        <f>HYPERLINK("https://gocharting.com/terminal?ticker=NSE:TCIEXP&amp;layout=1","click here to view the chart")</f>
        <v>click here to view the chart</v>
      </c>
    </row>
    <row r="468" spans="4:16" x14ac:dyDescent="0.25">
      <c r="D468" s="6" t="s">
        <v>278</v>
      </c>
      <c r="E468" s="6">
        <v>466</v>
      </c>
      <c r="F468" s="6" t="s">
        <v>499</v>
      </c>
      <c r="G468" s="16" t="s">
        <v>19</v>
      </c>
      <c r="H468" s="16" t="s">
        <v>19</v>
      </c>
      <c r="I468" s="16" t="s">
        <v>17</v>
      </c>
      <c r="J468" s="6">
        <v>655</v>
      </c>
      <c r="K468" s="6">
        <v>657.6</v>
      </c>
      <c r="L468" s="6">
        <v>647.4</v>
      </c>
      <c r="M468" s="6">
        <v>650.9</v>
      </c>
      <c r="N468" s="6">
        <v>673</v>
      </c>
      <c r="O468" s="6">
        <v>13440</v>
      </c>
      <c r="P468" s="14" t="str">
        <f>HYPERLINK("https://gocharting.com/terminal?ticker=NSE:TCNSBRANDS&amp;layout=1","click here to view the chart")</f>
        <v>click here to view the chart</v>
      </c>
    </row>
    <row r="469" spans="4:16" x14ac:dyDescent="0.25">
      <c r="D469" s="6" t="s">
        <v>278</v>
      </c>
      <c r="E469" s="6">
        <v>467</v>
      </c>
      <c r="F469" s="6" t="s">
        <v>500</v>
      </c>
      <c r="G469" s="16" t="s">
        <v>19</v>
      </c>
      <c r="H469" s="16" t="s">
        <v>19</v>
      </c>
      <c r="I469" s="15" t="s">
        <v>23</v>
      </c>
      <c r="J469" s="6">
        <v>2993.3</v>
      </c>
      <c r="K469" s="6">
        <v>3088.8</v>
      </c>
      <c r="L469" s="6">
        <v>2930.35</v>
      </c>
      <c r="M469" s="6">
        <v>2953.5</v>
      </c>
      <c r="N469" s="6">
        <v>3098</v>
      </c>
      <c r="O469" s="6">
        <v>108108</v>
      </c>
      <c r="P469" s="14" t="str">
        <f>HYPERLINK("https://gocharting.com/terminal?ticker=NSE:TEAMLEASE&amp;layout=1","click here to view the chart")</f>
        <v>click here to view the chart</v>
      </c>
    </row>
    <row r="470" spans="4:16" x14ac:dyDescent="0.25">
      <c r="D470" s="6" t="s">
        <v>278</v>
      </c>
      <c r="E470" s="6">
        <v>468</v>
      </c>
      <c r="F470" s="6" t="s">
        <v>501</v>
      </c>
      <c r="G470" s="16" t="s">
        <v>19</v>
      </c>
      <c r="H470" s="16" t="s">
        <v>19</v>
      </c>
      <c r="I470" s="15" t="s">
        <v>23</v>
      </c>
      <c r="J470" s="6">
        <v>664.45</v>
      </c>
      <c r="K470" s="6">
        <v>665.9</v>
      </c>
      <c r="L470" s="6">
        <v>638.1</v>
      </c>
      <c r="M470" s="6">
        <v>646.70000000000005</v>
      </c>
      <c r="N470" s="6">
        <v>689</v>
      </c>
      <c r="O470" s="6">
        <v>61277</v>
      </c>
      <c r="P470" s="14" t="str">
        <f>HYPERLINK("https://gocharting.com/terminal?ticker=NSE:THYROCARE&amp;layout=1","click here to view the chart")</f>
        <v>click here to view the chart</v>
      </c>
    </row>
    <row r="471" spans="4:16" x14ac:dyDescent="0.25">
      <c r="D471" s="6" t="s">
        <v>278</v>
      </c>
      <c r="E471" s="6">
        <v>469</v>
      </c>
      <c r="F471" s="6" t="s">
        <v>502</v>
      </c>
      <c r="G471" s="16" t="s">
        <v>15</v>
      </c>
      <c r="H471" s="15" t="s">
        <v>16</v>
      </c>
      <c r="I471" s="16" t="s">
        <v>17</v>
      </c>
      <c r="J471" s="6">
        <v>3042</v>
      </c>
      <c r="K471" s="6">
        <v>3116.6</v>
      </c>
      <c r="L471" s="6">
        <v>3042</v>
      </c>
      <c r="M471" s="6">
        <v>3088.55</v>
      </c>
      <c r="N471" s="6">
        <v>3385</v>
      </c>
      <c r="O471" s="6">
        <v>24056</v>
      </c>
      <c r="P471" s="14" t="str">
        <f>HYPERLINK("https://gocharting.com/terminal?ticker=NSE:TIMKEN&amp;layout=1","click here to view the chart")</f>
        <v>click here to view the chart</v>
      </c>
    </row>
    <row r="472" spans="4:16" x14ac:dyDescent="0.25">
      <c r="D472" s="6" t="s">
        <v>278</v>
      </c>
      <c r="E472" s="6">
        <v>470</v>
      </c>
      <c r="F472" s="6" t="s">
        <v>503</v>
      </c>
      <c r="G472" s="16" t="s">
        <v>19</v>
      </c>
      <c r="H472" s="16" t="s">
        <v>19</v>
      </c>
      <c r="I472" s="17" t="s">
        <v>20</v>
      </c>
      <c r="J472" s="6">
        <v>36.049999999999997</v>
      </c>
      <c r="K472" s="6">
        <v>36.15</v>
      </c>
      <c r="L472" s="6">
        <v>35.549999999999997</v>
      </c>
      <c r="M472" s="6">
        <v>35.6</v>
      </c>
      <c r="N472" s="6">
        <v>37.1</v>
      </c>
      <c r="O472" s="6">
        <v>5397993</v>
      </c>
      <c r="P472" s="14" t="str">
        <f>HYPERLINK("https://gocharting.com/terminal?ticker=NSE:TRIDENT&amp;layout=1","click here to view the chart")</f>
        <v>click here to view the chart</v>
      </c>
    </row>
    <row r="473" spans="4:16" x14ac:dyDescent="0.25">
      <c r="D473" s="6" t="s">
        <v>278</v>
      </c>
      <c r="E473" s="6">
        <v>471</v>
      </c>
      <c r="F473" s="6" t="s">
        <v>504</v>
      </c>
      <c r="G473" s="16" t="s">
        <v>19</v>
      </c>
      <c r="H473" s="16" t="s">
        <v>19</v>
      </c>
      <c r="I473" s="16" t="s">
        <v>17</v>
      </c>
      <c r="J473" s="6">
        <v>272.25</v>
      </c>
      <c r="K473" s="6">
        <v>277.89999999999998</v>
      </c>
      <c r="L473" s="6">
        <v>264</v>
      </c>
      <c r="M473" s="6">
        <v>264.8</v>
      </c>
      <c r="N473" s="6">
        <v>271.35000000000002</v>
      </c>
      <c r="O473" s="6">
        <v>1680175</v>
      </c>
      <c r="P473" s="14" t="str">
        <f>HYPERLINK("https://gocharting.com/terminal?ticker=NSE:TRITURBINE&amp;layout=1","click here to view the chart")</f>
        <v>click here to view the chart</v>
      </c>
    </row>
    <row r="474" spans="4:16" x14ac:dyDescent="0.25">
      <c r="D474" s="6" t="s">
        <v>278</v>
      </c>
      <c r="E474" s="6">
        <v>472</v>
      </c>
      <c r="F474" s="6" t="s">
        <v>505</v>
      </c>
      <c r="G474" s="16" t="s">
        <v>15</v>
      </c>
      <c r="H474" s="15" t="s">
        <v>16</v>
      </c>
      <c r="I474" s="15" t="s">
        <v>23</v>
      </c>
      <c r="J474" s="6">
        <v>36.5</v>
      </c>
      <c r="K474" s="6">
        <v>37.75</v>
      </c>
      <c r="L474" s="6">
        <v>36.4</v>
      </c>
      <c r="M474" s="6">
        <v>37.549999999999997</v>
      </c>
      <c r="N474" s="6">
        <v>38.15</v>
      </c>
      <c r="O474" s="6">
        <v>12899970</v>
      </c>
      <c r="P474" s="14" t="str">
        <f>HYPERLINK("https://gocharting.com/terminal?ticker=NSE:TV18BRDCST&amp;layout=1","click here to view the chart")</f>
        <v>click here to view the chart</v>
      </c>
    </row>
    <row r="475" spans="4:16" x14ac:dyDescent="0.25">
      <c r="D475" s="6" t="s">
        <v>278</v>
      </c>
      <c r="E475" s="6">
        <v>473</v>
      </c>
      <c r="F475" s="6" t="s">
        <v>506</v>
      </c>
      <c r="G475" s="15" t="s">
        <v>25</v>
      </c>
      <c r="H475" s="15" t="s">
        <v>16</v>
      </c>
      <c r="I475" s="15" t="s">
        <v>23</v>
      </c>
      <c r="J475" s="6">
        <v>11.7</v>
      </c>
      <c r="K475" s="6">
        <v>12</v>
      </c>
      <c r="L475" s="6">
        <v>11.65</v>
      </c>
      <c r="M475" s="6">
        <v>11.9</v>
      </c>
      <c r="N475" s="6">
        <v>11.8</v>
      </c>
      <c r="O475" s="6">
        <v>3815741</v>
      </c>
      <c r="P475" s="14" t="str">
        <f>HYPERLINK("https://gocharting.com/terminal?ticker=NSE:UCOBANK&amp;layout=1","click here to view the chart")</f>
        <v>click here to view the chart</v>
      </c>
    </row>
    <row r="476" spans="4:16" x14ac:dyDescent="0.25">
      <c r="D476" s="6" t="s">
        <v>278</v>
      </c>
      <c r="E476" s="6">
        <v>474</v>
      </c>
      <c r="F476" s="6" t="s">
        <v>507</v>
      </c>
      <c r="G476" s="15" t="s">
        <v>22</v>
      </c>
      <c r="H476" s="15" t="s">
        <v>16</v>
      </c>
      <c r="I476" s="15" t="s">
        <v>23</v>
      </c>
      <c r="J476" s="6">
        <v>703.45</v>
      </c>
      <c r="K476" s="6">
        <v>729</v>
      </c>
      <c r="L476" s="6">
        <v>703</v>
      </c>
      <c r="M476" s="6">
        <v>725.7</v>
      </c>
      <c r="N476" s="6">
        <v>720</v>
      </c>
      <c r="O476" s="6">
        <v>160834</v>
      </c>
      <c r="P476" s="14" t="str">
        <f>HYPERLINK("https://gocharting.com/terminal?ticker=NSE:UFLEX&amp;layout=1","click here to view the chart")</f>
        <v>click here to view the chart</v>
      </c>
    </row>
    <row r="477" spans="4:16" x14ac:dyDescent="0.25">
      <c r="D477" s="6" t="s">
        <v>278</v>
      </c>
      <c r="E477" s="6">
        <v>475</v>
      </c>
      <c r="F477" s="6" t="s">
        <v>508</v>
      </c>
      <c r="G477" s="16" t="s">
        <v>15</v>
      </c>
      <c r="H477" s="15" t="s">
        <v>16</v>
      </c>
      <c r="I477" s="17" t="s">
        <v>20</v>
      </c>
      <c r="J477" s="6">
        <v>246.5</v>
      </c>
      <c r="K477" s="6">
        <v>257</v>
      </c>
      <c r="L477" s="6">
        <v>246.5</v>
      </c>
      <c r="M477" s="6">
        <v>256.14999999999998</v>
      </c>
      <c r="N477" s="6">
        <v>257</v>
      </c>
      <c r="O477" s="6">
        <v>957772</v>
      </c>
      <c r="P477" s="14" t="str">
        <f>HYPERLINK("https://gocharting.com/terminal?ticker=NSE:UJJIVAN&amp;layout=1","click here to view the chart")</f>
        <v>click here to view the chart</v>
      </c>
    </row>
    <row r="478" spans="4:16" x14ac:dyDescent="0.25">
      <c r="D478" s="6" t="s">
        <v>278</v>
      </c>
      <c r="E478" s="6">
        <v>476</v>
      </c>
      <c r="F478" s="6" t="s">
        <v>509</v>
      </c>
      <c r="G478" s="16" t="s">
        <v>15</v>
      </c>
      <c r="H478" s="15" t="s">
        <v>16</v>
      </c>
      <c r="I478" s="16" t="s">
        <v>17</v>
      </c>
      <c r="J478" s="6">
        <v>23.8</v>
      </c>
      <c r="K478" s="6">
        <v>25</v>
      </c>
      <c r="L478" s="6">
        <v>23.75</v>
      </c>
      <c r="M478" s="6">
        <v>24.9</v>
      </c>
      <c r="N478" s="6">
        <v>25.6</v>
      </c>
      <c r="O478" s="6">
        <v>5037959</v>
      </c>
      <c r="P478" s="14" t="str">
        <f>HYPERLINK("https://gocharting.com/terminal?ticker=NSE:UJJIVANSFB&amp;layout=1","click here to view the chart")</f>
        <v>click here to view the chart</v>
      </c>
    </row>
    <row r="479" spans="4:16" x14ac:dyDescent="0.25">
      <c r="D479" s="6" t="s">
        <v>278</v>
      </c>
      <c r="E479" s="6">
        <v>477</v>
      </c>
      <c r="F479" s="6" t="s">
        <v>510</v>
      </c>
      <c r="G479" s="15" t="s">
        <v>22</v>
      </c>
      <c r="H479" s="15" t="s">
        <v>16</v>
      </c>
      <c r="I479" s="16" t="s">
        <v>17</v>
      </c>
      <c r="J479" s="6">
        <v>734.05</v>
      </c>
      <c r="K479" s="6">
        <v>767</v>
      </c>
      <c r="L479" s="6">
        <v>734.05</v>
      </c>
      <c r="M479" s="6">
        <v>764.85</v>
      </c>
      <c r="N479" s="6">
        <v>749.1</v>
      </c>
      <c r="O479" s="6">
        <v>58489</v>
      </c>
      <c r="P479" s="14" t="str">
        <f>HYPERLINK("https://gocharting.com/terminal?ticker=NSE:UTIAMC&amp;layout=1","click here to view the chart")</f>
        <v>click here to view the chart</v>
      </c>
    </row>
    <row r="480" spans="4:16" x14ac:dyDescent="0.25">
      <c r="D480" s="6" t="s">
        <v>278</v>
      </c>
      <c r="E480" s="6">
        <v>478</v>
      </c>
      <c r="F480" s="6" t="s">
        <v>511</v>
      </c>
      <c r="G480" s="16" t="s">
        <v>15</v>
      </c>
      <c r="H480" s="15" t="s">
        <v>16</v>
      </c>
      <c r="I480" s="17" t="s">
        <v>20</v>
      </c>
      <c r="J480" s="6">
        <v>337.4</v>
      </c>
      <c r="K480" s="6">
        <v>355.75</v>
      </c>
      <c r="L480" s="6">
        <v>332.65</v>
      </c>
      <c r="M480" s="6">
        <v>350.8</v>
      </c>
      <c r="N480" s="6">
        <v>355.9</v>
      </c>
      <c r="O480" s="6">
        <v>259646</v>
      </c>
      <c r="P480" s="14" t="str">
        <f>HYPERLINK("https://gocharting.com/terminal?ticker=NSE:VAIBHAVGBL&amp;layout=1","click here to view the chart")</f>
        <v>click here to view the chart</v>
      </c>
    </row>
    <row r="481" spans="4:16" x14ac:dyDescent="0.25">
      <c r="D481" s="6" t="s">
        <v>278</v>
      </c>
      <c r="E481" s="6">
        <v>479</v>
      </c>
      <c r="F481" s="6" t="s">
        <v>512</v>
      </c>
      <c r="G481" s="16" t="s">
        <v>15</v>
      </c>
      <c r="H481" s="15" t="s">
        <v>16</v>
      </c>
      <c r="I481" s="17" t="s">
        <v>20</v>
      </c>
      <c r="J481" s="6">
        <v>33.4</v>
      </c>
      <c r="K481" s="6">
        <v>35.35</v>
      </c>
      <c r="L481" s="6">
        <v>33.4</v>
      </c>
      <c r="M481" s="6">
        <v>33.85</v>
      </c>
      <c r="N481" s="6">
        <v>36.200000000000003</v>
      </c>
      <c r="O481" s="6">
        <v>9626870</v>
      </c>
      <c r="P481" s="14" t="str">
        <f>HYPERLINK("https://gocharting.com/terminal?ticker=NSE:VAKRANGEE&amp;layout=1","click here to view the chart")</f>
        <v>click here to view the chart</v>
      </c>
    </row>
    <row r="482" spans="4:16" x14ac:dyDescent="0.25">
      <c r="D482" s="6" t="s">
        <v>278</v>
      </c>
      <c r="E482" s="6">
        <v>480</v>
      </c>
      <c r="F482" s="6" t="s">
        <v>513</v>
      </c>
      <c r="G482" s="16" t="s">
        <v>19</v>
      </c>
      <c r="H482" s="16" t="s">
        <v>19</v>
      </c>
      <c r="I482" s="16" t="s">
        <v>17</v>
      </c>
      <c r="J482" s="6">
        <v>722</v>
      </c>
      <c r="K482" s="6">
        <v>726.65</v>
      </c>
      <c r="L482" s="6">
        <v>692</v>
      </c>
      <c r="M482" s="6">
        <v>702.4</v>
      </c>
      <c r="N482" s="6">
        <v>756.7</v>
      </c>
      <c r="O482" s="6">
        <v>27736</v>
      </c>
      <c r="P482" s="14" t="str">
        <f>HYPERLINK("https://gocharting.com/terminal?ticker=NSE:VALIANTORG&amp;layout=1","click here to view the chart")</f>
        <v>click here to view the chart</v>
      </c>
    </row>
    <row r="483" spans="4:16" x14ac:dyDescent="0.25">
      <c r="D483" s="6" t="s">
        <v>278</v>
      </c>
      <c r="E483" s="6">
        <v>481</v>
      </c>
      <c r="F483" s="6" t="s">
        <v>514</v>
      </c>
      <c r="G483" s="16" t="s">
        <v>19</v>
      </c>
      <c r="H483" s="16" t="s">
        <v>19</v>
      </c>
      <c r="I483" s="16" t="s">
        <v>17</v>
      </c>
      <c r="J483" s="6">
        <v>315</v>
      </c>
      <c r="K483" s="6">
        <v>317.89999999999998</v>
      </c>
      <c r="L483" s="6">
        <v>309</v>
      </c>
      <c r="M483" s="6">
        <v>309.8</v>
      </c>
      <c r="N483" s="6">
        <v>317.89999999999998</v>
      </c>
      <c r="O483" s="6">
        <v>279723</v>
      </c>
      <c r="P483" s="14" t="str">
        <f>HYPERLINK("https://gocharting.com/terminal?ticker=NSE:VARROC&amp;layout=1","click here to view the chart")</f>
        <v>click here to view the chart</v>
      </c>
    </row>
    <row r="484" spans="4:16" x14ac:dyDescent="0.25">
      <c r="D484" s="6" t="s">
        <v>278</v>
      </c>
      <c r="E484" s="6">
        <v>482</v>
      </c>
      <c r="F484" s="6" t="s">
        <v>515</v>
      </c>
      <c r="G484" s="16" t="s">
        <v>15</v>
      </c>
      <c r="H484" s="15" t="s">
        <v>16</v>
      </c>
      <c r="I484" s="17" t="s">
        <v>20</v>
      </c>
      <c r="J484" s="6">
        <v>1928.4</v>
      </c>
      <c r="K484" s="6">
        <v>1993.95</v>
      </c>
      <c r="L484" s="6">
        <v>1924.8</v>
      </c>
      <c r="M484" s="6">
        <v>1960.8</v>
      </c>
      <c r="N484" s="6">
        <v>1992</v>
      </c>
      <c r="O484" s="6">
        <v>24833</v>
      </c>
      <c r="P484" s="14" t="str">
        <f>HYPERLINK("https://gocharting.com/terminal?ticker=NSE:VENKEYS&amp;layout=1","click here to view the chart")</f>
        <v>click here to view the chart</v>
      </c>
    </row>
    <row r="485" spans="4:16" x14ac:dyDescent="0.25">
      <c r="D485" s="6" t="s">
        <v>278</v>
      </c>
      <c r="E485" s="6">
        <v>483</v>
      </c>
      <c r="F485" s="6" t="s">
        <v>516</v>
      </c>
      <c r="G485" s="16" t="s">
        <v>19</v>
      </c>
      <c r="H485" s="16" t="s">
        <v>19</v>
      </c>
      <c r="I485" s="16" t="s">
        <v>17</v>
      </c>
      <c r="J485" s="6">
        <v>688.7</v>
      </c>
      <c r="K485" s="6">
        <v>691.65</v>
      </c>
      <c r="L485" s="6">
        <v>680.25</v>
      </c>
      <c r="M485" s="6">
        <v>684.9</v>
      </c>
      <c r="N485" s="6">
        <v>709.8</v>
      </c>
      <c r="O485" s="6">
        <v>96093</v>
      </c>
      <c r="P485" s="14" t="str">
        <f>HYPERLINK("https://gocharting.com/terminal?ticker=NSE:VIPIND&amp;layout=1","click here to view the chart")</f>
        <v>click here to view the chart</v>
      </c>
    </row>
    <row r="486" spans="4:16" x14ac:dyDescent="0.25">
      <c r="D486" s="6" t="s">
        <v>278</v>
      </c>
      <c r="E486" s="6">
        <v>484</v>
      </c>
      <c r="F486" s="6" t="s">
        <v>517</v>
      </c>
      <c r="G486" s="16" t="s">
        <v>15</v>
      </c>
      <c r="H486" s="15" t="s">
        <v>16</v>
      </c>
      <c r="I486" s="16" t="s">
        <v>17</v>
      </c>
      <c r="J486" s="6">
        <v>2765</v>
      </c>
      <c r="K486" s="6">
        <v>2830</v>
      </c>
      <c r="L486" s="6">
        <v>2752.05</v>
      </c>
      <c r="M486" s="6">
        <v>2782.4</v>
      </c>
      <c r="N486" s="6">
        <v>2850</v>
      </c>
      <c r="O486" s="6">
        <v>10381</v>
      </c>
      <c r="P486" s="14" t="str">
        <f>HYPERLINK("https://gocharting.com/terminal?ticker=NSE:VMART&amp;layout=1","click here to view the chart")</f>
        <v>click here to view the chart</v>
      </c>
    </row>
    <row r="487" spans="4:16" x14ac:dyDescent="0.25">
      <c r="D487" s="6" t="s">
        <v>278</v>
      </c>
      <c r="E487" s="6">
        <v>485</v>
      </c>
      <c r="F487" s="6" t="s">
        <v>518</v>
      </c>
      <c r="G487" s="15" t="s">
        <v>25</v>
      </c>
      <c r="H487" s="15" t="s">
        <v>16</v>
      </c>
      <c r="I487" s="15" t="s">
        <v>23</v>
      </c>
      <c r="J487" s="6">
        <v>3365</v>
      </c>
      <c r="K487" s="6">
        <v>3515</v>
      </c>
      <c r="L487" s="6">
        <v>3363.55</v>
      </c>
      <c r="M487" s="6">
        <v>3463.65</v>
      </c>
      <c r="N487" s="6">
        <v>3390.9</v>
      </c>
      <c r="O487" s="6">
        <v>17726</v>
      </c>
      <c r="P487" s="14" t="str">
        <f>HYPERLINK("https://gocharting.com/terminal?ticker=NSE:VSTIND&amp;layout=1","click here to view the chart")</f>
        <v>click here to view the chart</v>
      </c>
    </row>
    <row r="488" spans="4:16" x14ac:dyDescent="0.25">
      <c r="D488" s="6" t="s">
        <v>278</v>
      </c>
      <c r="E488" s="6">
        <v>486</v>
      </c>
      <c r="F488" s="6" t="s">
        <v>519</v>
      </c>
      <c r="G488" s="16" t="s">
        <v>15</v>
      </c>
      <c r="H488" s="15" t="s">
        <v>16</v>
      </c>
      <c r="I488" s="16" t="s">
        <v>17</v>
      </c>
      <c r="J488" s="6">
        <v>350.85</v>
      </c>
      <c r="K488" s="6">
        <v>354</v>
      </c>
      <c r="L488" s="6">
        <v>346.3</v>
      </c>
      <c r="M488" s="6">
        <v>352.35</v>
      </c>
      <c r="N488" s="6">
        <v>358.9</v>
      </c>
      <c r="O488" s="6">
        <v>230817</v>
      </c>
      <c r="P488" s="14" t="str">
        <f>HYPERLINK("https://gocharting.com/terminal?ticker=NSE:VTL&amp;layout=1","click here to view the chart")</f>
        <v>click here to view the chart</v>
      </c>
    </row>
    <row r="489" spans="4:16" x14ac:dyDescent="0.25">
      <c r="D489" s="6" t="s">
        <v>278</v>
      </c>
      <c r="E489" s="6">
        <v>487</v>
      </c>
      <c r="F489" s="6" t="s">
        <v>520</v>
      </c>
      <c r="G489" s="16" t="s">
        <v>199</v>
      </c>
      <c r="H489" s="16" t="s">
        <v>19</v>
      </c>
      <c r="I489" s="17" t="s">
        <v>20</v>
      </c>
      <c r="J489" s="6">
        <v>8400</v>
      </c>
      <c r="K489" s="6">
        <v>8449.4500000000007</v>
      </c>
      <c r="L489" s="6">
        <v>8200.1</v>
      </c>
      <c r="M489" s="6">
        <v>8294.65</v>
      </c>
      <c r="N489" s="6">
        <v>8757.9500000000007</v>
      </c>
      <c r="O489" s="6">
        <v>5058</v>
      </c>
      <c r="P489" s="14" t="str">
        <f>HYPERLINK("https://gocharting.com/terminal?ticker=NSE:WABCOINDIA&amp;layout=1","click here to view the chart")</f>
        <v>click here to view the chart</v>
      </c>
    </row>
    <row r="490" spans="4:16" x14ac:dyDescent="0.25">
      <c r="D490" s="6" t="s">
        <v>278</v>
      </c>
      <c r="E490" s="6">
        <v>488</v>
      </c>
      <c r="F490" s="6" t="s">
        <v>521</v>
      </c>
      <c r="G490" s="16" t="s">
        <v>19</v>
      </c>
      <c r="H490" s="16" t="s">
        <v>19</v>
      </c>
      <c r="I490" s="15" t="s">
        <v>23</v>
      </c>
      <c r="J490" s="6">
        <v>236.3</v>
      </c>
      <c r="K490" s="6">
        <v>240.3</v>
      </c>
      <c r="L490" s="6">
        <v>225.8</v>
      </c>
      <c r="M490" s="6">
        <v>227.5</v>
      </c>
      <c r="N490" s="6">
        <v>254.75</v>
      </c>
      <c r="O490" s="6">
        <v>2770742</v>
      </c>
      <c r="P490" s="14" t="str">
        <f>HYPERLINK("https://gocharting.com/terminal?ticker=NSE:WELCORP&amp;layout=1","click here to view the chart")</f>
        <v>click here to view the chart</v>
      </c>
    </row>
    <row r="491" spans="4:16" x14ac:dyDescent="0.25">
      <c r="D491" s="6" t="s">
        <v>278</v>
      </c>
      <c r="E491" s="6">
        <v>489</v>
      </c>
      <c r="F491" s="6" t="s">
        <v>522</v>
      </c>
      <c r="G491" s="16" t="s">
        <v>15</v>
      </c>
      <c r="H491" s="15" t="s">
        <v>16</v>
      </c>
      <c r="I491" s="16" t="s">
        <v>17</v>
      </c>
      <c r="J491" s="6">
        <v>75</v>
      </c>
      <c r="K491" s="6">
        <v>76.8</v>
      </c>
      <c r="L491" s="6">
        <v>74.75</v>
      </c>
      <c r="M491" s="6">
        <v>76.400000000000006</v>
      </c>
      <c r="N491" s="6">
        <v>78.2</v>
      </c>
      <c r="O491" s="6">
        <v>413346</v>
      </c>
      <c r="P491" s="14" t="str">
        <f>HYPERLINK("https://gocharting.com/terminal?ticker=NSE:WELSPUNIND&amp;layout=1","click here to view the chart")</f>
        <v>click here to view the chart</v>
      </c>
    </row>
    <row r="492" spans="4:16" x14ac:dyDescent="0.25">
      <c r="D492" s="6" t="s">
        <v>278</v>
      </c>
      <c r="E492" s="6">
        <v>490</v>
      </c>
      <c r="F492" s="6" t="s">
        <v>523</v>
      </c>
      <c r="G492" s="15" t="s">
        <v>25</v>
      </c>
      <c r="H492" s="15" t="s">
        <v>16</v>
      </c>
      <c r="I492" s="15" t="s">
        <v>23</v>
      </c>
      <c r="J492" s="6">
        <v>731</v>
      </c>
      <c r="K492" s="6">
        <v>772</v>
      </c>
      <c r="L492" s="6">
        <v>719.1</v>
      </c>
      <c r="M492" s="6">
        <v>755.95</v>
      </c>
      <c r="N492" s="6">
        <v>736.4</v>
      </c>
      <c r="O492" s="6">
        <v>538598</v>
      </c>
      <c r="P492" s="14" t="str">
        <f>HYPERLINK("https://gocharting.com/terminal?ticker=NSE:WESTLIFE&amp;layout=1","click here to view the chart")</f>
        <v>click here to view the chart</v>
      </c>
    </row>
    <row r="493" spans="4:16" x14ac:dyDescent="0.25">
      <c r="D493" s="6" t="s">
        <v>278</v>
      </c>
      <c r="E493" s="6">
        <v>491</v>
      </c>
      <c r="F493" s="6" t="s">
        <v>524</v>
      </c>
      <c r="G493" s="16" t="s">
        <v>19</v>
      </c>
      <c r="H493" s="16" t="s">
        <v>19</v>
      </c>
      <c r="I493" s="16" t="s">
        <v>17</v>
      </c>
      <c r="J493" s="6">
        <v>246</v>
      </c>
      <c r="K493" s="6">
        <v>247.05</v>
      </c>
      <c r="L493" s="6">
        <v>242.5</v>
      </c>
      <c r="M493" s="6">
        <v>244.4</v>
      </c>
      <c r="N493" s="6">
        <v>249.5</v>
      </c>
      <c r="O493" s="6">
        <v>285985</v>
      </c>
      <c r="P493" s="14" t="str">
        <f>HYPERLINK("https://gocharting.com/terminal?ticker=NSE:WOCKPHARMA&amp;layout=1","click here to view the chart")</f>
        <v>click here to view the chart</v>
      </c>
    </row>
    <row r="494" spans="4:16" x14ac:dyDescent="0.25">
      <c r="D494" s="6" t="s">
        <v>278</v>
      </c>
      <c r="E494" s="6">
        <v>492</v>
      </c>
      <c r="F494" s="6" t="s">
        <v>525</v>
      </c>
      <c r="G494" s="16" t="s">
        <v>19</v>
      </c>
      <c r="H494" s="16" t="s">
        <v>19</v>
      </c>
      <c r="I494" s="16" t="s">
        <v>17</v>
      </c>
      <c r="J494" s="6">
        <v>217.5</v>
      </c>
      <c r="K494" s="6">
        <v>219.9</v>
      </c>
      <c r="L494" s="6">
        <v>214.8</v>
      </c>
      <c r="M494" s="6">
        <v>215.5</v>
      </c>
      <c r="N494" s="6">
        <v>225.7</v>
      </c>
      <c r="O494" s="6">
        <v>496464</v>
      </c>
      <c r="P494" s="14" t="str">
        <f>HYPERLINK("https://gocharting.com/terminal?ticker=NSE:ZENSARTECH&amp;layout=1","click here to view the chart")</f>
        <v>click here to view the chart</v>
      </c>
    </row>
    <row r="495" spans="4:16" x14ac:dyDescent="0.25">
      <c r="D495" s="6"/>
      <c r="E495" s="6"/>
      <c r="F495" s="6"/>
      <c r="G495" s="6"/>
      <c r="H495" s="6"/>
      <c r="I495" s="6"/>
      <c r="J495" s="6"/>
      <c r="K495" s="6"/>
      <c r="L495" s="6"/>
      <c r="M495" s="6"/>
      <c r="P495" s="6"/>
    </row>
    <row r="496" spans="4:16" x14ac:dyDescent="0.25">
      <c r="D496" s="6"/>
      <c r="E496" s="6"/>
      <c r="F496" s="6"/>
      <c r="G496" s="6"/>
      <c r="H496" s="6"/>
      <c r="I496" s="6"/>
      <c r="J496" s="6"/>
      <c r="K496" s="6"/>
      <c r="L496" s="6"/>
      <c r="M496" s="6"/>
      <c r="P496" s="6"/>
    </row>
    <row r="497" spans="3:16" x14ac:dyDescent="0.25">
      <c r="D497" s="6"/>
      <c r="E497" s="6"/>
      <c r="F497" s="6"/>
      <c r="G497" s="6"/>
      <c r="H497" s="6"/>
      <c r="I497" s="6"/>
      <c r="J497" s="6"/>
      <c r="K497" s="6"/>
      <c r="L497" s="6"/>
      <c r="M497" s="6"/>
      <c r="P497" s="6"/>
    </row>
    <row r="498" spans="3:16" x14ac:dyDescent="0.25">
      <c r="D498" s="6"/>
      <c r="E498" s="6"/>
      <c r="F498" s="6"/>
      <c r="G498" s="6"/>
      <c r="H498" s="6"/>
      <c r="I498" s="6"/>
      <c r="J498" s="6"/>
      <c r="K498" s="6"/>
      <c r="L498" s="6"/>
      <c r="M498" s="6"/>
      <c r="P498" s="6"/>
    </row>
    <row r="499" spans="3:16" x14ac:dyDescent="0.25">
      <c r="D499" s="6"/>
      <c r="E499" s="6"/>
      <c r="F499" s="6"/>
      <c r="G499" s="6"/>
      <c r="H499" s="6"/>
      <c r="I499" s="6"/>
      <c r="J499" s="6"/>
      <c r="K499" s="6"/>
      <c r="L499" s="6"/>
      <c r="M499" s="6"/>
      <c r="P499" s="6"/>
    </row>
    <row r="500" spans="3:16" x14ac:dyDescent="0.25">
      <c r="D500" s="6"/>
      <c r="E500" s="6"/>
      <c r="F500" s="6"/>
      <c r="G500" s="6"/>
      <c r="H500" s="6"/>
      <c r="I500" s="6"/>
      <c r="J500" s="6"/>
      <c r="K500" s="6"/>
      <c r="L500" s="6"/>
      <c r="M500" s="6"/>
      <c r="P500" s="6"/>
    </row>
    <row r="501" spans="3:16" x14ac:dyDescent="0.25">
      <c r="D501" s="6"/>
      <c r="E501" s="6"/>
      <c r="F501" s="6"/>
      <c r="G501" s="6"/>
      <c r="H501" s="6"/>
      <c r="I501" s="6"/>
      <c r="J501" s="6"/>
      <c r="K501" s="6"/>
      <c r="L501" s="6"/>
      <c r="M501" s="6"/>
      <c r="P501" s="6"/>
    </row>
    <row r="502" spans="3:16" x14ac:dyDescent="0.25">
      <c r="D502" s="6"/>
      <c r="E502" s="6"/>
      <c r="F502" s="6"/>
      <c r="G502" s="6"/>
      <c r="H502" s="6"/>
      <c r="I502" s="6"/>
      <c r="J502" s="6"/>
      <c r="K502" s="6"/>
      <c r="L502" s="6"/>
      <c r="M502" s="6"/>
      <c r="P502" s="6"/>
    </row>
    <row r="503" spans="3:16" x14ac:dyDescent="0.25">
      <c r="D503" s="6"/>
      <c r="E503" s="6"/>
      <c r="F503" s="6"/>
      <c r="G503" s="6"/>
      <c r="H503" s="6"/>
      <c r="I503" s="6"/>
      <c r="J503" s="6"/>
      <c r="K503" s="6"/>
      <c r="L503" s="6"/>
      <c r="M503" s="6"/>
      <c r="P503" s="6"/>
    </row>
    <row r="504" spans="3:16" x14ac:dyDescent="0.25">
      <c r="D504" s="6"/>
      <c r="E504" s="6"/>
      <c r="F504" s="6"/>
      <c r="G504" s="6"/>
      <c r="H504" s="6"/>
      <c r="I504" s="6"/>
      <c r="J504" s="6"/>
      <c r="K504" s="6"/>
      <c r="L504" s="6"/>
      <c r="M504" s="6"/>
      <c r="P504" s="6"/>
    </row>
    <row r="505" spans="3:16" x14ac:dyDescent="0.25">
      <c r="D505" s="6"/>
      <c r="E505" s="6"/>
      <c r="F505" s="6"/>
      <c r="G505" s="6"/>
      <c r="H505" s="6"/>
      <c r="I505" s="6"/>
      <c r="J505" s="6"/>
      <c r="K505" s="6"/>
      <c r="L505" s="6"/>
      <c r="M505" s="6"/>
      <c r="P505" s="6"/>
    </row>
    <row r="506" spans="3:16" x14ac:dyDescent="0.25">
      <c r="D506" s="6"/>
      <c r="E506" s="6"/>
      <c r="F506" s="6"/>
      <c r="G506" s="6"/>
      <c r="H506" s="6"/>
      <c r="I506" s="6"/>
      <c r="J506" s="6"/>
      <c r="K506" s="6"/>
      <c r="L506" s="6"/>
      <c r="M506" s="6"/>
      <c r="P506" s="6"/>
    </row>
    <row r="507" spans="3:16" x14ac:dyDescent="0.25">
      <c r="D507" s="6"/>
      <c r="E507" s="6"/>
      <c r="F507" s="6"/>
      <c r="G507" s="6"/>
      <c r="H507" s="6"/>
      <c r="I507" s="6"/>
      <c r="J507" s="6"/>
      <c r="K507" s="6"/>
      <c r="L507" s="6"/>
      <c r="M507" s="6"/>
      <c r="P507" s="6"/>
    </row>
    <row r="508" spans="3:16" x14ac:dyDescent="0.25">
      <c r="C508" t="s">
        <v>2</v>
      </c>
      <c r="D508" s="6"/>
      <c r="E508" s="6"/>
      <c r="F508" s="6"/>
      <c r="G508" s="6"/>
      <c r="H508" s="6"/>
      <c r="I508" s="6"/>
      <c r="J508" s="6"/>
      <c r="K508" s="6"/>
      <c r="L508" s="6"/>
      <c r="M508" s="6"/>
      <c r="P508" s="6"/>
    </row>
    <row r="509" spans="3:16" x14ac:dyDescent="0.25">
      <c r="D509" s="6"/>
      <c r="E509" s="6"/>
      <c r="F509" s="6"/>
      <c r="G509" s="6"/>
      <c r="H509" s="6"/>
      <c r="I509" s="6"/>
      <c r="J509" s="6"/>
      <c r="K509" s="6"/>
      <c r="L509" s="6"/>
      <c r="M509" s="6"/>
      <c r="P509" s="6"/>
    </row>
    <row r="510" spans="3:16" x14ac:dyDescent="0.25">
      <c r="D510" s="6"/>
      <c r="E510" s="6"/>
      <c r="F510" s="6"/>
      <c r="G510" s="6"/>
      <c r="H510" s="6"/>
      <c r="I510" s="6"/>
      <c r="J510" s="6"/>
      <c r="K510" s="6"/>
      <c r="L510" s="6"/>
      <c r="M510" s="6"/>
      <c r="P510" s="6"/>
    </row>
    <row r="511" spans="3:16" x14ac:dyDescent="0.25">
      <c r="D511" s="6"/>
      <c r="E511" s="6"/>
      <c r="F511" s="6"/>
      <c r="G511" s="6"/>
      <c r="H511" s="6"/>
      <c r="I511" s="6"/>
      <c r="J511" s="6"/>
      <c r="K511" s="6"/>
      <c r="L511" s="6"/>
      <c r="M511" s="6"/>
      <c r="P511" s="6"/>
    </row>
    <row r="512" spans="3:16" x14ac:dyDescent="0.25">
      <c r="D512" s="6"/>
      <c r="E512" s="6"/>
      <c r="F512" s="6"/>
      <c r="G512" s="6"/>
      <c r="H512" s="6"/>
      <c r="I512" s="6"/>
      <c r="J512" s="6"/>
      <c r="K512" s="6"/>
      <c r="L512" s="6"/>
      <c r="M512" s="6"/>
      <c r="P512" s="6"/>
    </row>
    <row r="513" spans="4:16" x14ac:dyDescent="0.25">
      <c r="D513" s="6"/>
      <c r="E513" s="6"/>
      <c r="F513" s="6"/>
      <c r="G513" s="6"/>
      <c r="H513" s="6"/>
      <c r="I513" s="6"/>
      <c r="J513" s="6"/>
      <c r="K513" s="6"/>
      <c r="L513" s="6"/>
      <c r="M513" s="6"/>
      <c r="P513" s="6"/>
    </row>
    <row r="514" spans="4:16" x14ac:dyDescent="0.25">
      <c r="D514" s="6"/>
      <c r="E514" s="6"/>
      <c r="F514" s="6"/>
      <c r="G514" s="6"/>
      <c r="H514" s="6"/>
      <c r="I514" s="6"/>
      <c r="J514" s="6"/>
      <c r="K514" s="6"/>
      <c r="L514" s="6"/>
      <c r="M514" s="6"/>
      <c r="P514" s="6"/>
    </row>
    <row r="515" spans="4:16" x14ac:dyDescent="0.25">
      <c r="D515" s="6"/>
      <c r="E515" s="6"/>
      <c r="F515" s="6"/>
      <c r="G515" s="6"/>
      <c r="H515" s="6"/>
      <c r="I515" s="6"/>
      <c r="J515" s="6"/>
      <c r="K515" s="6"/>
      <c r="L515" s="6"/>
      <c r="M515" s="6"/>
      <c r="P515" s="6"/>
    </row>
    <row r="516" spans="4:16" x14ac:dyDescent="0.25">
      <c r="D516" s="6"/>
      <c r="E516" s="6"/>
      <c r="F516" s="6"/>
      <c r="G516" s="6"/>
      <c r="H516" s="6"/>
      <c r="I516" s="6"/>
      <c r="J516" s="6"/>
      <c r="K516" s="6"/>
      <c r="L516" s="6"/>
      <c r="M516" s="6"/>
      <c r="P516" s="6"/>
    </row>
    <row r="517" spans="4:16" x14ac:dyDescent="0.25">
      <c r="D517" s="6"/>
      <c r="E517" s="6"/>
      <c r="F517" s="6"/>
      <c r="G517" s="6"/>
      <c r="H517" s="6"/>
      <c r="I517" s="6"/>
      <c r="J517" s="6"/>
      <c r="K517" s="6"/>
      <c r="L517" s="6"/>
      <c r="M517" s="6"/>
      <c r="P517" s="6"/>
    </row>
    <row r="518" spans="4:16" x14ac:dyDescent="0.25">
      <c r="D518" s="6"/>
      <c r="E518" s="6"/>
      <c r="F518" s="6"/>
      <c r="G518" s="6"/>
      <c r="H518" s="6"/>
      <c r="I518" s="6"/>
      <c r="J518" s="6"/>
      <c r="K518" s="6"/>
      <c r="L518" s="6"/>
      <c r="M518" s="6"/>
      <c r="P518" s="6"/>
    </row>
    <row r="519" spans="4:16" x14ac:dyDescent="0.25">
      <c r="D519" s="6"/>
      <c r="E519" s="6"/>
      <c r="F519" s="6"/>
      <c r="G519" s="6"/>
      <c r="H519" s="6"/>
      <c r="I519" s="6"/>
      <c r="J519" s="6"/>
      <c r="K519" s="6"/>
      <c r="L519" s="6"/>
      <c r="M519" s="6"/>
      <c r="P519" s="6"/>
    </row>
    <row r="520" spans="4:16" x14ac:dyDescent="0.25">
      <c r="D520" s="6"/>
      <c r="E520" s="6"/>
      <c r="F520" s="6"/>
      <c r="G520" s="6"/>
      <c r="H520" s="6"/>
      <c r="I520" s="6"/>
      <c r="J520" s="6"/>
      <c r="K520" s="6"/>
      <c r="L520" s="6"/>
      <c r="M520" s="6"/>
      <c r="P520" s="6"/>
    </row>
    <row r="521" spans="4:16" x14ac:dyDescent="0.25">
      <c r="D521" s="6"/>
      <c r="E521" s="6"/>
      <c r="F521" s="6"/>
      <c r="G521" s="6"/>
      <c r="H521" s="6"/>
      <c r="I521" s="6"/>
      <c r="J521" s="6"/>
      <c r="K521" s="6"/>
      <c r="L521" s="6"/>
      <c r="M521" s="6"/>
      <c r="P521" s="6"/>
    </row>
    <row r="522" spans="4:16" x14ac:dyDescent="0.25">
      <c r="D522" s="6"/>
      <c r="E522" s="6"/>
      <c r="F522" s="6"/>
      <c r="G522" s="6"/>
      <c r="H522" s="6"/>
      <c r="I522" s="6"/>
      <c r="J522" s="6"/>
      <c r="K522" s="6"/>
      <c r="L522" s="6"/>
      <c r="M522" s="6"/>
      <c r="P522" s="6"/>
    </row>
    <row r="523" spans="4:16" x14ac:dyDescent="0.25">
      <c r="D523" s="6"/>
      <c r="E523" s="6"/>
      <c r="F523" s="6"/>
      <c r="G523" s="6"/>
      <c r="H523" s="6"/>
      <c r="I523" s="6"/>
      <c r="J523" s="6"/>
      <c r="K523" s="6"/>
      <c r="L523" s="6"/>
      <c r="M523" s="6"/>
      <c r="P523" s="6"/>
    </row>
    <row r="524" spans="4:16" x14ac:dyDescent="0.25">
      <c r="D524" s="6"/>
      <c r="E524" s="6"/>
      <c r="F524" s="6"/>
      <c r="G524" s="6"/>
      <c r="H524" s="6"/>
      <c r="I524" s="6"/>
      <c r="J524" s="6"/>
      <c r="K524" s="6"/>
      <c r="L524" s="6"/>
      <c r="M524" s="6"/>
      <c r="P524" s="6"/>
    </row>
    <row r="525" spans="4:16" x14ac:dyDescent="0.25">
      <c r="D525" s="6"/>
      <c r="E525" s="6"/>
      <c r="F525" s="6"/>
      <c r="G525" s="6"/>
      <c r="H525" s="6"/>
      <c r="I525" s="6"/>
      <c r="J525" s="6"/>
      <c r="K525" s="6"/>
      <c r="L525" s="6"/>
      <c r="M525" s="6"/>
      <c r="P525" s="6"/>
    </row>
    <row r="526" spans="4:16" x14ac:dyDescent="0.25">
      <c r="D526" s="6"/>
      <c r="E526" s="6"/>
      <c r="F526" s="6"/>
      <c r="G526" s="6"/>
      <c r="H526" s="6"/>
      <c r="I526" s="6"/>
      <c r="J526" s="6"/>
      <c r="K526" s="6"/>
      <c r="L526" s="6"/>
      <c r="M526" s="6"/>
      <c r="P526" s="6"/>
    </row>
    <row r="527" spans="4:16" x14ac:dyDescent="0.25">
      <c r="D527" s="6"/>
      <c r="E527" s="6"/>
      <c r="F527" s="6"/>
      <c r="G527" s="6"/>
      <c r="H527" s="6"/>
      <c r="I527" s="6"/>
      <c r="J527" s="6"/>
      <c r="K527" s="6"/>
      <c r="L527" s="6"/>
      <c r="M527" s="6"/>
      <c r="P527" s="6"/>
    </row>
    <row r="528" spans="4:16" x14ac:dyDescent="0.25">
      <c r="D528" s="6"/>
      <c r="E528" s="6"/>
      <c r="F528" s="6"/>
      <c r="G528" s="6"/>
      <c r="H528" s="6"/>
      <c r="I528" s="6"/>
      <c r="J528" s="6"/>
      <c r="K528" s="6"/>
      <c r="L528" s="6"/>
      <c r="M528" s="6"/>
      <c r="P528" s="6"/>
    </row>
    <row r="529" spans="4:16" x14ac:dyDescent="0.25">
      <c r="D529" s="6"/>
      <c r="E529" s="6"/>
      <c r="F529" s="6"/>
      <c r="G529" s="6"/>
      <c r="H529" s="6"/>
      <c r="I529" s="6"/>
      <c r="J529" s="6"/>
      <c r="K529" s="6"/>
      <c r="L529" s="6"/>
      <c r="M529" s="6"/>
      <c r="P529" s="6"/>
    </row>
    <row r="530" spans="4:16" x14ac:dyDescent="0.25">
      <c r="D530" s="6"/>
      <c r="E530" s="6"/>
      <c r="F530" s="6"/>
      <c r="G530" s="6"/>
      <c r="H530" s="6"/>
      <c r="I530" s="6"/>
      <c r="J530" s="6"/>
      <c r="K530" s="6"/>
      <c r="L530" s="6"/>
      <c r="M530" s="6"/>
      <c r="P530" s="6"/>
    </row>
    <row r="531" spans="4:16" x14ac:dyDescent="0.25">
      <c r="D531" s="6"/>
      <c r="E531" s="6"/>
      <c r="F531" s="6"/>
      <c r="G531" s="6"/>
      <c r="H531" s="6"/>
      <c r="I531" s="6"/>
      <c r="J531" s="6"/>
      <c r="K531" s="6"/>
      <c r="L531" s="6"/>
      <c r="M531" s="6"/>
      <c r="P531" s="6"/>
    </row>
    <row r="532" spans="4:16" x14ac:dyDescent="0.25">
      <c r="D532" s="6"/>
      <c r="E532" s="6"/>
      <c r="F532" s="6"/>
      <c r="G532" s="6"/>
      <c r="H532" s="6"/>
      <c r="I532" s="6"/>
      <c r="J532" s="6"/>
      <c r="K532" s="6"/>
      <c r="L532" s="6"/>
      <c r="M532" s="6"/>
      <c r="P532" s="6"/>
    </row>
    <row r="533" spans="4:16" x14ac:dyDescent="0.25">
      <c r="D533" s="6"/>
      <c r="E533" s="6"/>
      <c r="F533" s="6"/>
      <c r="G533" s="6"/>
      <c r="H533" s="6"/>
      <c r="I533" s="6"/>
      <c r="J533" s="6"/>
      <c r="K533" s="6"/>
      <c r="L533" s="6"/>
      <c r="M533" s="6"/>
      <c r="P533" s="6"/>
    </row>
    <row r="534" spans="4:16" x14ac:dyDescent="0.25">
      <c r="D534" s="6"/>
      <c r="E534" s="6"/>
      <c r="F534" s="6"/>
      <c r="G534" s="6"/>
      <c r="H534" s="6"/>
      <c r="I534" s="6"/>
      <c r="J534" s="6"/>
      <c r="K534" s="6"/>
      <c r="L534" s="6"/>
      <c r="M534" s="6"/>
      <c r="P534" s="6"/>
    </row>
    <row r="535" spans="4:16" x14ac:dyDescent="0.25">
      <c r="D535" s="6"/>
      <c r="E535" s="6"/>
      <c r="F535" s="6"/>
      <c r="G535" s="6"/>
      <c r="H535" s="6"/>
      <c r="I535" s="6"/>
      <c r="J535" s="6"/>
      <c r="K535" s="6"/>
      <c r="L535" s="6"/>
      <c r="M535" s="6"/>
      <c r="P535" s="6"/>
    </row>
    <row r="536" spans="4:16" x14ac:dyDescent="0.25">
      <c r="D536" s="6"/>
      <c r="E536" s="6"/>
      <c r="F536" s="6"/>
      <c r="G536" s="6"/>
      <c r="H536" s="6"/>
      <c r="I536" s="6"/>
      <c r="J536" s="6"/>
      <c r="K536" s="6"/>
      <c r="L536" s="6"/>
      <c r="M536" s="6"/>
      <c r="P536" s="6"/>
    </row>
    <row r="537" spans="4:16" x14ac:dyDescent="0.25">
      <c r="D537" s="6"/>
      <c r="E537" s="6"/>
      <c r="F537" s="6"/>
      <c r="G537" s="6"/>
      <c r="H537" s="6"/>
      <c r="I537" s="6"/>
      <c r="J537" s="6"/>
      <c r="K537" s="6"/>
      <c r="L537" s="6"/>
      <c r="M537" s="6"/>
      <c r="P537" s="6"/>
    </row>
    <row r="538" spans="4:16" x14ac:dyDescent="0.25">
      <c r="D538" s="6"/>
      <c r="E538" s="6"/>
      <c r="F538" s="6"/>
      <c r="G538" s="6"/>
      <c r="H538" s="6"/>
      <c r="I538" s="6"/>
      <c r="J538" s="6"/>
      <c r="K538" s="6"/>
      <c r="L538" s="6"/>
      <c r="M538" s="6"/>
      <c r="P538" s="6"/>
    </row>
    <row r="539" spans="4:16" x14ac:dyDescent="0.25">
      <c r="D539" s="6"/>
      <c r="E539" s="6"/>
      <c r="F539" s="6"/>
      <c r="G539" s="6"/>
      <c r="H539" s="6"/>
      <c r="I539" s="6"/>
      <c r="J539" s="6"/>
      <c r="K539" s="6"/>
      <c r="L539" s="6"/>
      <c r="M539" s="6"/>
      <c r="P539" s="6"/>
    </row>
    <row r="540" spans="4:16" x14ac:dyDescent="0.25">
      <c r="D540" s="6"/>
      <c r="E540" s="6"/>
      <c r="F540" s="6"/>
      <c r="G540" s="6"/>
      <c r="H540" s="6"/>
      <c r="I540" s="6"/>
      <c r="J540" s="6"/>
      <c r="K540" s="6"/>
      <c r="L540" s="6"/>
      <c r="M540" s="6"/>
      <c r="P540" s="6"/>
    </row>
    <row r="541" spans="4:16" x14ac:dyDescent="0.25">
      <c r="D541" s="6"/>
      <c r="E541" s="6"/>
      <c r="F541" s="6"/>
      <c r="G541" s="6"/>
      <c r="H541" s="6"/>
      <c r="I541" s="6"/>
      <c r="J541" s="6"/>
      <c r="K541" s="6"/>
      <c r="L541" s="6"/>
      <c r="M541" s="6"/>
      <c r="P541" s="6"/>
    </row>
    <row r="542" spans="4:16" x14ac:dyDescent="0.25">
      <c r="D542" s="6"/>
      <c r="E542" s="6"/>
      <c r="F542" s="6"/>
      <c r="G542" s="6"/>
      <c r="H542" s="6"/>
      <c r="I542" s="6"/>
      <c r="J542" s="6"/>
      <c r="K542" s="6"/>
      <c r="L542" s="6"/>
      <c r="M542" s="6"/>
      <c r="P542" s="6"/>
    </row>
    <row r="543" spans="4:16" x14ac:dyDescent="0.25">
      <c r="D543" s="6"/>
      <c r="E543" s="6"/>
      <c r="F543" s="6"/>
      <c r="G543" s="6"/>
      <c r="H543" s="6"/>
      <c r="I543" s="6"/>
      <c r="J543" s="6"/>
      <c r="K543" s="6"/>
      <c r="L543" s="6"/>
      <c r="M543" s="6"/>
      <c r="P543" s="6"/>
    </row>
    <row r="544" spans="4:16" x14ac:dyDescent="0.25">
      <c r="D544" s="6"/>
      <c r="E544" s="6"/>
      <c r="F544" s="6"/>
      <c r="G544" s="6"/>
      <c r="H544" s="6"/>
      <c r="I544" s="6"/>
      <c r="J544" s="6"/>
      <c r="K544" s="6"/>
      <c r="L544" s="6"/>
      <c r="M544" s="6"/>
      <c r="P544" s="6"/>
    </row>
    <row r="545" spans="4:16" x14ac:dyDescent="0.25">
      <c r="D545" s="6"/>
      <c r="E545" s="6"/>
      <c r="F545" s="6"/>
      <c r="G545" s="6"/>
      <c r="H545" s="6"/>
      <c r="I545" s="6"/>
      <c r="J545" s="6"/>
      <c r="K545" s="6"/>
      <c r="L545" s="6"/>
      <c r="M545" s="6"/>
      <c r="P545" s="6"/>
    </row>
    <row r="546" spans="4:16" x14ac:dyDescent="0.25">
      <c r="D546" s="6"/>
      <c r="E546" s="6"/>
      <c r="F546" s="6"/>
      <c r="G546" s="6"/>
      <c r="H546" s="6"/>
      <c r="I546" s="6"/>
      <c r="J546" s="6"/>
      <c r="K546" s="6"/>
      <c r="L546" s="6"/>
      <c r="M546" s="6"/>
      <c r="P546" s="6"/>
    </row>
    <row r="547" spans="4:16" x14ac:dyDescent="0.25">
      <c r="D547" s="6"/>
      <c r="E547" s="6"/>
      <c r="F547" s="6"/>
      <c r="G547" s="6"/>
      <c r="H547" s="6"/>
      <c r="I547" s="6"/>
      <c r="J547" s="6"/>
      <c r="K547" s="6"/>
      <c r="L547" s="6"/>
      <c r="M547" s="6"/>
      <c r="P547" s="6"/>
    </row>
    <row r="548" spans="4:16" x14ac:dyDescent="0.25">
      <c r="D548" s="6"/>
      <c r="E548" s="6"/>
      <c r="F548" s="6"/>
      <c r="G548" s="6"/>
      <c r="H548" s="6"/>
      <c r="I548" s="6"/>
      <c r="J548" s="6"/>
      <c r="K548" s="6"/>
      <c r="L548" s="6"/>
      <c r="M548" s="6"/>
      <c r="P548" s="6"/>
    </row>
    <row r="549" spans="4:16" x14ac:dyDescent="0.25">
      <c r="D549" s="6"/>
      <c r="E549" s="6"/>
      <c r="F549" s="6"/>
      <c r="G549" s="6"/>
      <c r="H549" s="6"/>
      <c r="I549" s="6"/>
      <c r="J549" s="6"/>
      <c r="K549" s="6"/>
      <c r="L549" s="6"/>
      <c r="M549" s="6"/>
      <c r="P549" s="6"/>
    </row>
    <row r="550" spans="4:16" x14ac:dyDescent="0.25">
      <c r="D550" s="6"/>
      <c r="E550" s="6"/>
      <c r="F550" s="6"/>
      <c r="G550" s="6"/>
      <c r="H550" s="6"/>
      <c r="I550" s="6"/>
      <c r="J550" s="6"/>
      <c r="K550" s="6"/>
      <c r="L550" s="6"/>
      <c r="M550" s="6"/>
      <c r="P550" s="6"/>
    </row>
    <row r="551" spans="4:16" x14ac:dyDescent="0.25">
      <c r="D551" s="6"/>
      <c r="E551" s="6"/>
      <c r="F551" s="6"/>
      <c r="G551" s="6"/>
      <c r="H551" s="6"/>
      <c r="I551" s="6"/>
      <c r="J551" s="6"/>
      <c r="K551" s="6"/>
      <c r="L551" s="6"/>
      <c r="M551" s="6"/>
      <c r="P551" s="6"/>
    </row>
    <row r="552" spans="4:16" x14ac:dyDescent="0.25">
      <c r="D552" s="6"/>
      <c r="E552" s="6"/>
      <c r="F552" s="6"/>
      <c r="G552" s="6"/>
      <c r="H552" s="6"/>
      <c r="I552" s="6"/>
      <c r="J552" s="6"/>
      <c r="K552" s="6"/>
      <c r="L552" s="6"/>
      <c r="M552" s="6"/>
      <c r="P552" s="6"/>
    </row>
    <row r="553" spans="4:16" x14ac:dyDescent="0.25">
      <c r="D553" s="6"/>
      <c r="E553" s="6"/>
      <c r="F553" s="6"/>
      <c r="G553" s="6"/>
      <c r="H553" s="6"/>
      <c r="I553" s="6"/>
      <c r="J553" s="6"/>
      <c r="K553" s="6"/>
      <c r="L553" s="6"/>
      <c r="M553" s="6"/>
      <c r="P553" s="6"/>
    </row>
    <row r="554" spans="4:16" x14ac:dyDescent="0.25">
      <c r="D554" s="6"/>
      <c r="E554" s="6"/>
      <c r="F554" s="6"/>
      <c r="G554" s="6"/>
      <c r="H554" s="6"/>
      <c r="I554" s="6"/>
      <c r="J554" s="6"/>
      <c r="K554" s="6"/>
      <c r="L554" s="6"/>
      <c r="M554" s="6"/>
      <c r="P554" s="6"/>
    </row>
    <row r="555" spans="4:16" x14ac:dyDescent="0.25">
      <c r="D555" s="6"/>
      <c r="E555" s="6"/>
      <c r="F555" s="6"/>
      <c r="G555" s="6"/>
      <c r="H555" s="6"/>
      <c r="I555" s="6"/>
      <c r="J555" s="6"/>
      <c r="K555" s="6"/>
      <c r="L555" s="6"/>
      <c r="M555" s="6"/>
      <c r="P555" s="6"/>
    </row>
    <row r="556" spans="4:16" x14ac:dyDescent="0.25">
      <c r="D556" s="6"/>
      <c r="E556" s="6"/>
      <c r="F556" s="6"/>
      <c r="G556" s="6"/>
      <c r="H556" s="6"/>
      <c r="I556" s="6"/>
      <c r="J556" s="6"/>
      <c r="K556" s="6"/>
      <c r="L556" s="6"/>
      <c r="M556" s="6"/>
      <c r="P556" s="6"/>
    </row>
    <row r="557" spans="4:16" x14ac:dyDescent="0.25">
      <c r="D557" s="6"/>
      <c r="E557" s="6"/>
      <c r="F557" s="6"/>
      <c r="G557" s="6"/>
      <c r="H557" s="6"/>
      <c r="I557" s="6"/>
      <c r="J557" s="6"/>
      <c r="K557" s="6"/>
      <c r="L557" s="6"/>
      <c r="M557" s="6"/>
      <c r="P557" s="6"/>
    </row>
    <row r="558" spans="4:16" x14ac:dyDescent="0.25">
      <c r="D558" s="6"/>
      <c r="E558" s="6"/>
      <c r="F558" s="6"/>
      <c r="G558" s="6"/>
      <c r="H558" s="6"/>
      <c r="I558" s="6"/>
      <c r="J558" s="6"/>
      <c r="K558" s="6"/>
      <c r="L558" s="6"/>
      <c r="M558" s="6"/>
      <c r="P558" s="6"/>
    </row>
    <row r="559" spans="4:16" x14ac:dyDescent="0.25">
      <c r="D559" s="6"/>
      <c r="E559" s="6"/>
      <c r="F559" s="6"/>
      <c r="G559" s="6"/>
      <c r="H559" s="6"/>
      <c r="I559" s="6"/>
      <c r="J559" s="6"/>
      <c r="K559" s="6"/>
      <c r="L559" s="6"/>
      <c r="M559" s="6"/>
      <c r="P559" s="6"/>
    </row>
    <row r="560" spans="4:16" x14ac:dyDescent="0.25">
      <c r="D560" s="6"/>
      <c r="E560" s="6"/>
      <c r="F560" s="6"/>
      <c r="G560" s="6"/>
      <c r="H560" s="6"/>
      <c r="I560" s="6"/>
      <c r="J560" s="6"/>
      <c r="K560" s="6"/>
      <c r="L560" s="6"/>
      <c r="M560" s="6"/>
      <c r="P560" s="6"/>
    </row>
    <row r="561" spans="4:16" x14ac:dyDescent="0.25">
      <c r="D561" s="6"/>
      <c r="E561" s="6"/>
      <c r="F561" s="6"/>
      <c r="G561" s="6"/>
      <c r="H561" s="6"/>
      <c r="I561" s="6"/>
      <c r="J561" s="6"/>
      <c r="K561" s="6"/>
      <c r="L561" s="6"/>
      <c r="M561" s="6"/>
      <c r="P561" s="6"/>
    </row>
    <row r="562" spans="4:16" x14ac:dyDescent="0.25">
      <c r="D562" s="6"/>
      <c r="E562" s="6"/>
      <c r="F562" s="6"/>
      <c r="G562" s="6"/>
      <c r="H562" s="6"/>
      <c r="I562" s="6"/>
      <c r="J562" s="6"/>
      <c r="K562" s="6"/>
      <c r="L562" s="6"/>
      <c r="M562" s="6"/>
      <c r="P562" s="6"/>
    </row>
    <row r="563" spans="4:16" x14ac:dyDescent="0.25">
      <c r="D563" s="6"/>
      <c r="E563" s="6"/>
      <c r="F563" s="6"/>
      <c r="G563" s="6"/>
      <c r="H563" s="6"/>
      <c r="I563" s="6"/>
      <c r="J563" s="6"/>
      <c r="K563" s="6"/>
      <c r="L563" s="6"/>
      <c r="M563" s="6"/>
      <c r="P563" s="6"/>
    </row>
    <row r="564" spans="4:16" x14ac:dyDescent="0.25">
      <c r="D564" s="6"/>
      <c r="E564" s="6"/>
      <c r="F564" s="6"/>
      <c r="G564" s="6"/>
      <c r="H564" s="6"/>
      <c r="I564" s="6"/>
      <c r="J564" s="6"/>
      <c r="K564" s="6"/>
      <c r="L564" s="6"/>
      <c r="M564" s="6"/>
      <c r="P564" s="6"/>
    </row>
    <row r="565" spans="4:16" x14ac:dyDescent="0.25">
      <c r="D565" s="6"/>
      <c r="E565" s="6"/>
      <c r="F565" s="6"/>
      <c r="G565" s="6"/>
      <c r="H565" s="6"/>
      <c r="I565" s="6"/>
      <c r="J565" s="6"/>
      <c r="K565" s="6"/>
      <c r="L565" s="6"/>
      <c r="M565" s="6"/>
      <c r="P565" s="6"/>
    </row>
    <row r="566" spans="4:16" x14ac:dyDescent="0.25">
      <c r="D566" s="6"/>
      <c r="E566" s="6"/>
      <c r="F566" s="6"/>
      <c r="G566" s="6"/>
      <c r="H566" s="6"/>
      <c r="I566" s="6"/>
      <c r="J566" s="6"/>
      <c r="K566" s="6"/>
      <c r="L566" s="6"/>
      <c r="M566" s="6"/>
      <c r="P566" s="6"/>
    </row>
    <row r="567" spans="4:16" x14ac:dyDescent="0.25">
      <c r="D567" s="6"/>
      <c r="E567" s="6"/>
      <c r="F567" s="6"/>
      <c r="G567" s="6"/>
      <c r="H567" s="6"/>
      <c r="I567" s="6"/>
      <c r="J567" s="6"/>
      <c r="K567" s="6"/>
      <c r="L567" s="6"/>
      <c r="M567" s="6"/>
      <c r="P567" s="6"/>
    </row>
    <row r="568" spans="4:16" x14ac:dyDescent="0.25">
      <c r="D568" s="6"/>
      <c r="E568" s="6"/>
      <c r="F568" s="6"/>
      <c r="G568" s="6"/>
      <c r="H568" s="6"/>
      <c r="I568" s="6"/>
      <c r="J568" s="6"/>
      <c r="K568" s="6"/>
      <c r="L568" s="6"/>
      <c r="M568" s="6"/>
      <c r="P568" s="6"/>
    </row>
    <row r="569" spans="4:16" x14ac:dyDescent="0.25">
      <c r="D569" s="6"/>
      <c r="E569" s="6"/>
      <c r="F569" s="6"/>
      <c r="G569" s="6"/>
      <c r="H569" s="6"/>
      <c r="I569" s="6"/>
      <c r="J569" s="6"/>
      <c r="K569" s="6"/>
      <c r="L569" s="6"/>
      <c r="M569" s="6"/>
      <c r="P569" s="6"/>
    </row>
    <row r="570" spans="4:16" x14ac:dyDescent="0.25">
      <c r="D570" s="6"/>
      <c r="E570" s="6"/>
      <c r="F570" s="6"/>
      <c r="G570" s="6"/>
      <c r="H570" s="6"/>
      <c r="I570" s="6"/>
      <c r="J570" s="6"/>
      <c r="K570" s="6"/>
      <c r="L570" s="6"/>
      <c r="M570" s="6"/>
      <c r="P570" s="6"/>
    </row>
    <row r="571" spans="4:16" x14ac:dyDescent="0.25">
      <c r="D571" s="6"/>
      <c r="E571" s="6"/>
      <c r="F571" s="6"/>
      <c r="G571" s="6"/>
      <c r="H571" s="6"/>
      <c r="I571" s="6"/>
      <c r="J571" s="6"/>
      <c r="K571" s="6"/>
      <c r="L571" s="6"/>
      <c r="M571" s="6"/>
      <c r="P571" s="6"/>
    </row>
    <row r="572" spans="4:16" x14ac:dyDescent="0.25">
      <c r="D572" s="6"/>
      <c r="E572" s="6"/>
      <c r="F572" s="6"/>
      <c r="G572" s="6"/>
      <c r="H572" s="6"/>
      <c r="I572" s="6"/>
      <c r="J572" s="6"/>
      <c r="K572" s="6"/>
      <c r="L572" s="6"/>
      <c r="M572" s="6"/>
      <c r="P572" s="6"/>
    </row>
    <row r="573" spans="4:16" x14ac:dyDescent="0.25">
      <c r="D573" s="6"/>
      <c r="E573" s="6"/>
      <c r="F573" s="6"/>
      <c r="G573" s="6"/>
      <c r="H573" s="6"/>
      <c r="I573" s="6"/>
      <c r="J573" s="6"/>
      <c r="K573" s="6"/>
      <c r="L573" s="6"/>
      <c r="M573" s="6"/>
      <c r="P573" s="6"/>
    </row>
    <row r="574" spans="4:16" x14ac:dyDescent="0.25">
      <c r="D574" s="6"/>
      <c r="E574" s="6"/>
      <c r="F574" s="6"/>
      <c r="G574" s="6"/>
      <c r="H574" s="6"/>
      <c r="I574" s="6"/>
      <c r="J574" s="6"/>
      <c r="K574" s="6"/>
      <c r="L574" s="6"/>
      <c r="M574" s="6"/>
      <c r="P574" s="6"/>
    </row>
    <row r="575" spans="4:16" x14ac:dyDescent="0.25">
      <c r="D575" s="6"/>
      <c r="E575" s="6"/>
      <c r="F575" s="6"/>
      <c r="G575" s="6"/>
      <c r="H575" s="6"/>
      <c r="I575" s="6"/>
      <c r="J575" s="6"/>
      <c r="K575" s="6"/>
      <c r="L575" s="6"/>
      <c r="M575" s="6"/>
      <c r="P575" s="6"/>
    </row>
    <row r="576" spans="4:16" x14ac:dyDescent="0.25">
      <c r="D576" s="6"/>
      <c r="E576" s="6"/>
      <c r="F576" s="6"/>
      <c r="G576" s="6"/>
      <c r="H576" s="6"/>
      <c r="I576" s="6"/>
      <c r="J576" s="6"/>
      <c r="K576" s="6"/>
      <c r="L576" s="6"/>
      <c r="M576" s="6"/>
      <c r="P576" s="6"/>
    </row>
    <row r="577" spans="4:16" x14ac:dyDescent="0.25">
      <c r="D577" s="6"/>
      <c r="E577" s="6"/>
      <c r="F577" s="6"/>
      <c r="G577" s="6"/>
      <c r="H577" s="6"/>
      <c r="I577" s="6"/>
      <c r="J577" s="6"/>
      <c r="K577" s="6"/>
      <c r="L577" s="6"/>
      <c r="M577" s="6"/>
      <c r="P577" s="6"/>
    </row>
    <row r="578" spans="4:16" x14ac:dyDescent="0.25">
      <c r="D578" s="6"/>
      <c r="E578" s="6"/>
      <c r="F578" s="6"/>
      <c r="G578" s="6"/>
      <c r="H578" s="6"/>
      <c r="I578" s="6"/>
      <c r="J578" s="6"/>
      <c r="K578" s="6"/>
      <c r="L578" s="6"/>
      <c r="M578" s="6"/>
      <c r="P578" s="6"/>
    </row>
    <row r="579" spans="4:16" x14ac:dyDescent="0.25">
      <c r="D579" s="6"/>
      <c r="E579" s="6"/>
      <c r="F579" s="6"/>
      <c r="G579" s="6"/>
      <c r="H579" s="6"/>
      <c r="I579" s="6"/>
      <c r="J579" s="6"/>
      <c r="K579" s="6"/>
      <c r="L579" s="6"/>
      <c r="M579" s="6"/>
      <c r="P579" s="6"/>
    </row>
    <row r="580" spans="4:16" x14ac:dyDescent="0.25">
      <c r="D580" s="6"/>
      <c r="E580" s="6"/>
      <c r="F580" s="6"/>
      <c r="G580" s="6"/>
      <c r="H580" s="6"/>
      <c r="I580" s="6"/>
      <c r="J580" s="6"/>
      <c r="K580" s="6"/>
      <c r="L580" s="6"/>
      <c r="M580" s="6"/>
      <c r="P580" s="6"/>
    </row>
    <row r="581" spans="4:16" x14ac:dyDescent="0.25">
      <c r="D581" s="6"/>
      <c r="E581" s="6"/>
      <c r="F581" s="6"/>
      <c r="G581" s="6"/>
      <c r="H581" s="6"/>
      <c r="I581" s="6"/>
      <c r="J581" s="6"/>
      <c r="K581" s="6"/>
      <c r="L581" s="6"/>
      <c r="M581" s="6"/>
      <c r="P581" s="6"/>
    </row>
    <row r="582" spans="4:16" x14ac:dyDescent="0.25">
      <c r="D582" s="6"/>
      <c r="E582" s="6"/>
      <c r="F582" s="6"/>
      <c r="G582" s="6"/>
      <c r="H582" s="6"/>
      <c r="I582" s="6"/>
      <c r="J582" s="6"/>
      <c r="K582" s="6"/>
      <c r="L582" s="6"/>
      <c r="M582" s="6"/>
      <c r="P582" s="6"/>
    </row>
    <row r="583" spans="4:16" x14ac:dyDescent="0.25">
      <c r="D583" s="6"/>
      <c r="E583" s="6"/>
      <c r="F583" s="6"/>
      <c r="G583" s="6"/>
      <c r="H583" s="6"/>
      <c r="I583" s="6"/>
      <c r="J583" s="6"/>
      <c r="K583" s="6"/>
      <c r="L583" s="6"/>
      <c r="M583" s="6"/>
      <c r="P583" s="6"/>
    </row>
    <row r="584" spans="4:16" x14ac:dyDescent="0.25">
      <c r="D584" s="6"/>
      <c r="E584" s="6"/>
      <c r="F584" s="6"/>
      <c r="G584" s="6"/>
      <c r="H584" s="6"/>
      <c r="I584" s="6"/>
      <c r="J584" s="6"/>
      <c r="K584" s="6"/>
      <c r="L584" s="6"/>
      <c r="M584" s="6"/>
      <c r="P584" s="6"/>
    </row>
    <row r="585" spans="4:16" x14ac:dyDescent="0.25">
      <c r="D585" s="6"/>
      <c r="E585" s="6"/>
      <c r="F585" s="6"/>
      <c r="G585" s="6"/>
      <c r="H585" s="6"/>
      <c r="I585" s="6"/>
      <c r="J585" s="6"/>
      <c r="K585" s="6"/>
      <c r="L585" s="6"/>
      <c r="M585" s="6"/>
      <c r="P585" s="6"/>
    </row>
    <row r="586" spans="4:16" x14ac:dyDescent="0.25">
      <c r="D586" s="6"/>
      <c r="E586" s="6"/>
      <c r="F586" s="6"/>
      <c r="G586" s="6"/>
      <c r="H586" s="6"/>
      <c r="I586" s="6"/>
      <c r="J586" s="6"/>
      <c r="K586" s="6"/>
      <c r="L586" s="6"/>
      <c r="M586" s="6"/>
      <c r="P586" s="6"/>
    </row>
    <row r="587" spans="4:16" x14ac:dyDescent="0.25">
      <c r="D587" s="6"/>
      <c r="E587" s="6"/>
      <c r="F587" s="6"/>
      <c r="G587" s="6"/>
      <c r="H587" s="6"/>
      <c r="I587" s="6"/>
      <c r="J587" s="6"/>
      <c r="K587" s="6"/>
      <c r="L587" s="6"/>
      <c r="M587" s="6"/>
      <c r="P587" s="6"/>
    </row>
    <row r="588" spans="4:16" x14ac:dyDescent="0.25">
      <c r="D588" s="6"/>
      <c r="E588" s="6"/>
      <c r="F588" s="6"/>
      <c r="G588" s="6"/>
      <c r="H588" s="6"/>
      <c r="I588" s="6"/>
      <c r="J588" s="6"/>
      <c r="K588" s="6"/>
      <c r="L588" s="6"/>
      <c r="M588" s="6"/>
      <c r="P588" s="6"/>
    </row>
    <row r="589" spans="4:16" x14ac:dyDescent="0.25">
      <c r="D589" s="6"/>
      <c r="E589" s="6"/>
      <c r="F589" s="6"/>
      <c r="G589" s="6"/>
      <c r="H589" s="6"/>
      <c r="I589" s="6"/>
      <c r="J589" s="6"/>
      <c r="K589" s="6"/>
      <c r="L589" s="6"/>
      <c r="M589" s="6"/>
      <c r="P589" s="6"/>
    </row>
    <row r="590" spans="4:16" x14ac:dyDescent="0.25">
      <c r="D590" s="6"/>
      <c r="E590" s="6"/>
      <c r="F590" s="6"/>
      <c r="G590" s="6"/>
      <c r="H590" s="6"/>
      <c r="I590" s="6"/>
      <c r="J590" s="6"/>
      <c r="K590" s="6"/>
      <c r="L590" s="6"/>
      <c r="M590" s="6"/>
      <c r="P590" s="6"/>
    </row>
    <row r="591" spans="4:16" x14ac:dyDescent="0.25">
      <c r="D591" s="6"/>
      <c r="E591" s="6"/>
      <c r="F591" s="6"/>
      <c r="G591" s="6"/>
      <c r="H591" s="6"/>
      <c r="I591" s="6"/>
      <c r="J591" s="6"/>
      <c r="K591" s="6"/>
      <c r="L591" s="6"/>
      <c r="M591" s="6"/>
      <c r="P591" s="6"/>
    </row>
    <row r="592" spans="4:16" x14ac:dyDescent="0.25">
      <c r="D592" s="6"/>
      <c r="E592" s="6"/>
      <c r="F592" s="6"/>
      <c r="G592" s="6"/>
      <c r="H592" s="6"/>
      <c r="I592" s="6"/>
      <c r="J592" s="6"/>
      <c r="K592" s="6"/>
      <c r="L592" s="6"/>
      <c r="M592" s="6"/>
      <c r="P592" s="6"/>
    </row>
    <row r="593" spans="4:16" x14ac:dyDescent="0.25">
      <c r="D593" s="6"/>
      <c r="E593" s="6"/>
      <c r="F593" s="6"/>
      <c r="G593" s="6"/>
      <c r="H593" s="6"/>
      <c r="I593" s="6"/>
      <c r="J593" s="6"/>
      <c r="K593" s="6"/>
      <c r="L593" s="6"/>
      <c r="M593" s="6"/>
      <c r="P593" s="6"/>
    </row>
    <row r="594" spans="4:16" x14ac:dyDescent="0.25">
      <c r="D594" s="6"/>
      <c r="E594" s="6"/>
      <c r="F594" s="6"/>
      <c r="G594" s="6"/>
      <c r="H594" s="6"/>
      <c r="I594" s="6"/>
      <c r="J594" s="6"/>
      <c r="K594" s="6"/>
      <c r="L594" s="6"/>
      <c r="M594" s="6"/>
      <c r="P594" s="6"/>
    </row>
    <row r="595" spans="4:16" x14ac:dyDescent="0.25">
      <c r="D595" s="6"/>
      <c r="E595" s="6"/>
      <c r="F595" s="6"/>
      <c r="G595" s="6"/>
      <c r="H595" s="6"/>
      <c r="I595" s="6"/>
      <c r="J595" s="6"/>
      <c r="K595" s="6"/>
      <c r="L595" s="6"/>
      <c r="M595" s="6"/>
      <c r="P595" s="6"/>
    </row>
    <row r="596" spans="4:16" x14ac:dyDescent="0.25">
      <c r="D596" s="6"/>
      <c r="E596" s="6"/>
      <c r="F596" s="6"/>
      <c r="G596" s="6"/>
      <c r="H596" s="6"/>
      <c r="I596" s="6"/>
      <c r="J596" s="6"/>
      <c r="K596" s="6"/>
      <c r="L596" s="6"/>
      <c r="M596" s="6"/>
      <c r="P596" s="6"/>
    </row>
    <row r="597" spans="4:16" x14ac:dyDescent="0.25">
      <c r="D597" s="6"/>
      <c r="E597" s="6"/>
      <c r="F597" s="6"/>
      <c r="G597" s="6"/>
      <c r="H597" s="6"/>
      <c r="I597" s="6"/>
      <c r="J597" s="6"/>
      <c r="K597" s="6"/>
      <c r="L597" s="6"/>
      <c r="M597" s="6"/>
      <c r="P597" s="6"/>
    </row>
    <row r="598" spans="4:16" x14ac:dyDescent="0.25">
      <c r="D598" s="6"/>
      <c r="E598" s="6"/>
      <c r="F598" s="6"/>
      <c r="G598" s="6"/>
      <c r="H598" s="6"/>
      <c r="I598" s="6"/>
      <c r="J598" s="6"/>
      <c r="K598" s="6"/>
      <c r="L598" s="6"/>
      <c r="M598" s="6"/>
      <c r="P598" s="6"/>
    </row>
    <row r="599" spans="4:16" x14ac:dyDescent="0.25">
      <c r="D599" s="6"/>
      <c r="E599" s="6"/>
      <c r="F599" s="6"/>
      <c r="G599" s="6"/>
      <c r="H599" s="6"/>
      <c r="I599" s="6"/>
      <c r="J599" s="6"/>
      <c r="K599" s="6"/>
      <c r="L599" s="6"/>
      <c r="M599" s="6"/>
      <c r="P599" s="6"/>
    </row>
    <row r="600" spans="4:16" x14ac:dyDescent="0.25">
      <c r="D600" s="6"/>
      <c r="E600" s="6"/>
      <c r="F600" s="6"/>
      <c r="G600" s="6"/>
      <c r="H600" s="6"/>
      <c r="I600" s="6"/>
      <c r="J600" s="6"/>
      <c r="K600" s="6"/>
      <c r="L600" s="6"/>
      <c r="M600" s="6"/>
      <c r="P600" s="6"/>
    </row>
    <row r="601" spans="4:16" x14ac:dyDescent="0.25">
      <c r="D601" s="6"/>
      <c r="E601" s="6"/>
      <c r="F601" s="6"/>
      <c r="G601" s="6"/>
      <c r="H601" s="6"/>
      <c r="I601" s="6"/>
      <c r="J601" s="6"/>
      <c r="K601" s="6"/>
      <c r="L601" s="6"/>
      <c r="M601" s="6"/>
      <c r="P601" s="6"/>
    </row>
    <row r="602" spans="4:16" x14ac:dyDescent="0.25">
      <c r="D602" s="6"/>
      <c r="E602" s="6"/>
      <c r="F602" s="6"/>
      <c r="G602" s="6"/>
      <c r="H602" s="6"/>
      <c r="I602" s="6"/>
      <c r="J602" s="6"/>
      <c r="K602" s="6"/>
      <c r="L602" s="6"/>
      <c r="M602" s="6"/>
      <c r="P602" s="6"/>
    </row>
    <row r="603" spans="4:16" x14ac:dyDescent="0.25">
      <c r="D603" s="6"/>
      <c r="E603" s="6"/>
      <c r="F603" s="6"/>
      <c r="G603" s="6"/>
      <c r="H603" s="6"/>
      <c r="I603" s="6"/>
      <c r="J603" s="6"/>
      <c r="K603" s="6"/>
      <c r="L603" s="6"/>
      <c r="M603" s="6"/>
      <c r="P603" s="6"/>
    </row>
    <row r="604" spans="4:16" x14ac:dyDescent="0.25">
      <c r="D604" s="6"/>
      <c r="E604" s="6"/>
      <c r="F604" s="6"/>
      <c r="G604" s="6"/>
      <c r="H604" s="6"/>
      <c r="I604" s="6"/>
      <c r="J604" s="6"/>
      <c r="K604" s="6"/>
      <c r="L604" s="6"/>
      <c r="M604" s="6"/>
      <c r="P604" s="6"/>
    </row>
    <row r="605" spans="4:16" x14ac:dyDescent="0.25">
      <c r="D605" s="6"/>
      <c r="E605" s="6"/>
      <c r="F605" s="6"/>
      <c r="G605" s="6"/>
      <c r="H605" s="6"/>
      <c r="I605" s="6"/>
      <c r="J605" s="6"/>
      <c r="K605" s="6"/>
      <c r="L605" s="6"/>
      <c r="M605" s="6"/>
      <c r="P605" s="6"/>
    </row>
    <row r="606" spans="4:16" x14ac:dyDescent="0.25">
      <c r="D606" s="6"/>
      <c r="E606" s="6"/>
      <c r="F606" s="6"/>
      <c r="G606" s="6"/>
      <c r="H606" s="6"/>
      <c r="I606" s="6"/>
      <c r="J606" s="6"/>
      <c r="K606" s="6"/>
      <c r="L606" s="6"/>
      <c r="M606" s="6"/>
      <c r="P606" s="6"/>
    </row>
    <row r="607" spans="4:16" x14ac:dyDescent="0.25">
      <c r="D607" s="6"/>
      <c r="E607" s="6"/>
      <c r="F607" s="6"/>
      <c r="G607" s="6"/>
      <c r="H607" s="6"/>
      <c r="I607" s="6"/>
      <c r="J607" s="6"/>
      <c r="K607" s="6"/>
      <c r="L607" s="6"/>
      <c r="M607" s="6"/>
      <c r="P607" s="6"/>
    </row>
    <row r="608" spans="4:16" x14ac:dyDescent="0.25">
      <c r="D608" s="6"/>
      <c r="E608" s="6"/>
      <c r="F608" s="6"/>
      <c r="G608" s="6"/>
      <c r="H608" s="6"/>
      <c r="I608" s="6"/>
      <c r="J608" s="6"/>
      <c r="K608" s="6"/>
      <c r="L608" s="6"/>
      <c r="M608" s="6"/>
      <c r="P608" s="6"/>
    </row>
    <row r="609" spans="4:16" x14ac:dyDescent="0.25">
      <c r="D609" s="6"/>
      <c r="E609" s="6"/>
      <c r="F609" s="6"/>
      <c r="G609" s="6"/>
      <c r="H609" s="6"/>
      <c r="I609" s="6"/>
      <c r="J609" s="6"/>
      <c r="K609" s="6"/>
      <c r="L609" s="6"/>
      <c r="M609" s="6"/>
      <c r="P609" s="6"/>
    </row>
    <row r="610" spans="4:16" x14ac:dyDescent="0.25">
      <c r="D610" s="6"/>
      <c r="E610" s="6"/>
      <c r="F610" s="6"/>
      <c r="G610" s="6"/>
      <c r="H610" s="6"/>
      <c r="I610" s="6"/>
      <c r="J610" s="6"/>
      <c r="K610" s="6"/>
      <c r="L610" s="6"/>
      <c r="M610" s="6"/>
      <c r="P610" s="6"/>
    </row>
    <row r="611" spans="4:16" x14ac:dyDescent="0.25">
      <c r="D611" s="6"/>
      <c r="E611" s="6"/>
      <c r="F611" s="6"/>
      <c r="G611" s="6"/>
      <c r="H611" s="6"/>
      <c r="I611" s="6"/>
      <c r="J611" s="6"/>
      <c r="K611" s="6"/>
      <c r="L611" s="6"/>
      <c r="M611" s="6"/>
      <c r="P611" s="6"/>
    </row>
    <row r="612" spans="4:16" x14ac:dyDescent="0.25">
      <c r="D612" s="6"/>
      <c r="E612" s="6"/>
      <c r="F612" s="6"/>
      <c r="G612" s="6"/>
      <c r="H612" s="6"/>
      <c r="I612" s="6"/>
      <c r="J612" s="6"/>
      <c r="K612" s="6"/>
      <c r="L612" s="6"/>
      <c r="M612" s="6"/>
      <c r="P612" s="6"/>
    </row>
    <row r="613" spans="4:16" x14ac:dyDescent="0.25">
      <c r="D613" s="6"/>
      <c r="E613" s="6"/>
      <c r="F613" s="6"/>
      <c r="G613" s="6"/>
      <c r="H613" s="6"/>
      <c r="I613" s="6"/>
      <c r="J613" s="6"/>
      <c r="K613" s="6"/>
      <c r="L613" s="6"/>
      <c r="M613" s="6"/>
      <c r="P613" s="6"/>
    </row>
    <row r="614" spans="4:16" x14ac:dyDescent="0.25">
      <c r="D614" s="6"/>
      <c r="E614" s="6"/>
      <c r="F614" s="6"/>
      <c r="G614" s="6"/>
      <c r="H614" s="6"/>
      <c r="I614" s="6"/>
      <c r="J614" s="6"/>
      <c r="K614" s="6"/>
      <c r="L614" s="6"/>
      <c r="M614" s="6"/>
      <c r="P614" s="6"/>
    </row>
    <row r="615" spans="4:16" x14ac:dyDescent="0.25">
      <c r="D615" s="6"/>
      <c r="E615" s="6"/>
      <c r="F615" s="6"/>
      <c r="G615" s="6"/>
      <c r="H615" s="6"/>
      <c r="I615" s="6"/>
      <c r="J615" s="6"/>
      <c r="K615" s="6"/>
      <c r="L615" s="6"/>
      <c r="M615" s="6"/>
      <c r="P615" s="6"/>
    </row>
    <row r="616" spans="4:16" x14ac:dyDescent="0.25">
      <c r="D616" s="6"/>
      <c r="E616" s="6"/>
      <c r="F616" s="6"/>
      <c r="G616" s="6"/>
      <c r="H616" s="6"/>
      <c r="I616" s="6"/>
      <c r="J616" s="6"/>
      <c r="K616" s="6"/>
      <c r="L616" s="6"/>
      <c r="M616" s="6"/>
      <c r="P616" s="6"/>
    </row>
    <row r="617" spans="4:16" x14ac:dyDescent="0.25">
      <c r="D617" s="6"/>
      <c r="E617" s="6"/>
      <c r="F617" s="6"/>
      <c r="G617" s="6"/>
      <c r="H617" s="6"/>
      <c r="I617" s="6"/>
      <c r="J617" s="6"/>
      <c r="K617" s="6"/>
      <c r="L617" s="6"/>
      <c r="M617" s="6"/>
      <c r="P617" s="6"/>
    </row>
    <row r="618" spans="4:16" x14ac:dyDescent="0.25">
      <c r="D618" s="6"/>
      <c r="E618" s="6"/>
      <c r="F618" s="6"/>
      <c r="G618" s="6"/>
      <c r="H618" s="6"/>
      <c r="I618" s="6"/>
      <c r="J618" s="6"/>
      <c r="K618" s="6"/>
      <c r="L618" s="6"/>
      <c r="M618" s="6"/>
      <c r="P618" s="6"/>
    </row>
    <row r="619" spans="4:16" x14ac:dyDescent="0.25">
      <c r="D619" s="6"/>
      <c r="E619" s="6"/>
      <c r="F619" s="6"/>
      <c r="G619" s="6"/>
      <c r="H619" s="6"/>
      <c r="I619" s="6"/>
      <c r="J619" s="6"/>
      <c r="K619" s="6"/>
      <c r="L619" s="6"/>
      <c r="M619" s="6"/>
      <c r="P619" s="6"/>
    </row>
    <row r="620" spans="4:16" x14ac:dyDescent="0.25">
      <c r="D620" s="6"/>
      <c r="E620" s="6"/>
      <c r="F620" s="6"/>
      <c r="G620" s="6"/>
      <c r="H620" s="6"/>
      <c r="I620" s="6"/>
      <c r="J620" s="6"/>
      <c r="K620" s="6"/>
      <c r="L620" s="6"/>
      <c r="M620" s="6"/>
      <c r="P620" s="6"/>
    </row>
    <row r="621" spans="4:16" x14ac:dyDescent="0.25">
      <c r="D621" s="6"/>
      <c r="E621" s="6"/>
      <c r="F621" s="6"/>
      <c r="G621" s="6"/>
      <c r="H621" s="6"/>
      <c r="I621" s="6"/>
      <c r="J621" s="6"/>
      <c r="K621" s="6"/>
      <c r="L621" s="6"/>
      <c r="M621" s="6"/>
      <c r="P621" s="6"/>
    </row>
    <row r="622" spans="4:16" x14ac:dyDescent="0.25">
      <c r="D622" s="6"/>
      <c r="E622" s="6"/>
      <c r="F622" s="6"/>
      <c r="G622" s="6"/>
      <c r="H622" s="6"/>
      <c r="I622" s="6"/>
      <c r="J622" s="6"/>
      <c r="K622" s="6"/>
      <c r="L622" s="6"/>
      <c r="M622" s="6"/>
      <c r="P622" s="6"/>
    </row>
    <row r="623" spans="4:16" x14ac:dyDescent="0.25">
      <c r="D623" s="6"/>
      <c r="E623" s="6"/>
      <c r="F623" s="6"/>
      <c r="G623" s="6"/>
      <c r="H623" s="6"/>
      <c r="I623" s="6"/>
      <c r="J623" s="6"/>
      <c r="K623" s="6"/>
      <c r="L623" s="6"/>
      <c r="M623" s="6"/>
      <c r="P623" s="6"/>
    </row>
    <row r="624" spans="4:16" x14ac:dyDescent="0.25">
      <c r="D624" s="6"/>
      <c r="E624" s="6"/>
      <c r="F624" s="6"/>
      <c r="G624" s="6"/>
      <c r="H624" s="6"/>
      <c r="I624" s="6"/>
      <c r="J624" s="6"/>
      <c r="K624" s="6"/>
      <c r="L624" s="6"/>
      <c r="M624" s="6"/>
      <c r="P624" s="6"/>
    </row>
    <row r="625" spans="4:16" x14ac:dyDescent="0.25">
      <c r="D625" s="6"/>
      <c r="E625" s="6"/>
      <c r="F625" s="6"/>
      <c r="G625" s="6"/>
      <c r="H625" s="6"/>
      <c r="I625" s="6"/>
      <c r="J625" s="6"/>
      <c r="K625" s="6"/>
      <c r="L625" s="6"/>
      <c r="M625" s="6"/>
      <c r="P625" s="6"/>
    </row>
    <row r="626" spans="4:16" x14ac:dyDescent="0.25">
      <c r="D626" s="6"/>
      <c r="E626" s="6"/>
      <c r="F626" s="6"/>
      <c r="G626" s="6"/>
      <c r="H626" s="6"/>
      <c r="I626" s="6"/>
      <c r="J626" s="6"/>
      <c r="K626" s="6"/>
      <c r="L626" s="6"/>
      <c r="M626" s="6"/>
      <c r="P626" s="6"/>
    </row>
    <row r="627" spans="4:16" x14ac:dyDescent="0.25">
      <c r="D627" s="6"/>
      <c r="E627" s="6"/>
      <c r="F627" s="6"/>
      <c r="G627" s="6"/>
      <c r="H627" s="6"/>
      <c r="I627" s="6"/>
      <c r="J627" s="6"/>
      <c r="K627" s="6"/>
      <c r="L627" s="6"/>
      <c r="M627" s="6"/>
      <c r="P627" s="6"/>
    </row>
    <row r="628" spans="4:16" x14ac:dyDescent="0.25">
      <c r="D628" s="6"/>
      <c r="E628" s="6"/>
      <c r="F628" s="6"/>
      <c r="G628" s="6"/>
      <c r="H628" s="6"/>
      <c r="I628" s="6"/>
      <c r="J628" s="6"/>
      <c r="K628" s="6"/>
      <c r="L628" s="6"/>
      <c r="M628" s="6"/>
      <c r="P628" s="6"/>
    </row>
    <row r="629" spans="4:16" x14ac:dyDescent="0.25">
      <c r="D629" s="6"/>
      <c r="E629" s="6"/>
      <c r="F629" s="6"/>
      <c r="G629" s="6"/>
      <c r="H629" s="6"/>
      <c r="I629" s="6"/>
      <c r="J629" s="6"/>
      <c r="K629" s="6"/>
      <c r="L629" s="6"/>
      <c r="M629" s="6"/>
      <c r="P629" s="6"/>
    </row>
    <row r="630" spans="4:16" x14ac:dyDescent="0.25">
      <c r="D630" s="6"/>
      <c r="E630" s="6"/>
      <c r="F630" s="6"/>
      <c r="G630" s="6"/>
      <c r="H630" s="6"/>
      <c r="I630" s="6"/>
      <c r="J630" s="6"/>
      <c r="K630" s="6"/>
      <c r="L630" s="6"/>
      <c r="M630" s="6"/>
      <c r="P630" s="6"/>
    </row>
    <row r="631" spans="4:16" x14ac:dyDescent="0.25">
      <c r="D631" s="6"/>
      <c r="E631" s="6"/>
      <c r="F631" s="6"/>
      <c r="G631" s="6"/>
      <c r="H631" s="6"/>
      <c r="I631" s="6"/>
      <c r="J631" s="6"/>
      <c r="K631" s="6"/>
      <c r="L631" s="6"/>
      <c r="M631" s="6"/>
      <c r="P631" s="6"/>
    </row>
    <row r="632" spans="4:16" x14ac:dyDescent="0.25">
      <c r="D632" s="6"/>
      <c r="E632" s="6"/>
      <c r="F632" s="6"/>
      <c r="G632" s="6"/>
      <c r="H632" s="6"/>
      <c r="I632" s="6"/>
      <c r="J632" s="6"/>
      <c r="K632" s="6"/>
      <c r="L632" s="6"/>
      <c r="M632" s="6"/>
      <c r="P632" s="6"/>
    </row>
    <row r="633" spans="4:16" x14ac:dyDescent="0.25">
      <c r="D633" s="6"/>
      <c r="E633" s="6"/>
      <c r="F633" s="6"/>
      <c r="G633" s="6"/>
      <c r="H633" s="6"/>
      <c r="I633" s="6"/>
      <c r="J633" s="6"/>
      <c r="K633" s="6"/>
      <c r="L633" s="6"/>
      <c r="M633" s="6"/>
      <c r="P633" s="6"/>
    </row>
    <row r="634" spans="4:16" x14ac:dyDescent="0.25">
      <c r="D634" s="6"/>
      <c r="E634" s="6"/>
      <c r="F634" s="6"/>
      <c r="G634" s="6"/>
      <c r="H634" s="6"/>
      <c r="I634" s="6"/>
      <c r="J634" s="6"/>
      <c r="K634" s="6"/>
      <c r="L634" s="6"/>
      <c r="M634" s="6"/>
      <c r="P634" s="6"/>
    </row>
    <row r="635" spans="4:16" x14ac:dyDescent="0.25">
      <c r="D635" s="6"/>
      <c r="E635" s="6"/>
      <c r="F635" s="6"/>
      <c r="G635" s="6"/>
      <c r="H635" s="6"/>
      <c r="I635" s="6"/>
      <c r="J635" s="6"/>
      <c r="K635" s="6"/>
      <c r="L635" s="6"/>
      <c r="M635" s="6"/>
      <c r="P635" s="6"/>
    </row>
    <row r="636" spans="4:16" x14ac:dyDescent="0.25">
      <c r="D636" s="6"/>
      <c r="E636" s="6"/>
      <c r="F636" s="6"/>
      <c r="G636" s="6"/>
      <c r="H636" s="6"/>
      <c r="I636" s="6"/>
      <c r="J636" s="6"/>
      <c r="K636" s="6"/>
      <c r="L636" s="6"/>
      <c r="M636" s="6"/>
      <c r="P636" s="6"/>
    </row>
    <row r="637" spans="4:16" x14ac:dyDescent="0.25">
      <c r="D637" s="6"/>
      <c r="E637" s="6"/>
      <c r="F637" s="6"/>
      <c r="G637" s="6"/>
      <c r="H637" s="6"/>
      <c r="I637" s="6"/>
      <c r="J637" s="6"/>
      <c r="K637" s="6"/>
      <c r="L637" s="6"/>
      <c r="M637" s="6"/>
      <c r="P637" s="6"/>
    </row>
    <row r="638" spans="4:16" x14ac:dyDescent="0.25">
      <c r="D638" s="6"/>
      <c r="E638" s="6"/>
      <c r="F638" s="6"/>
      <c r="G638" s="6"/>
      <c r="H638" s="6"/>
      <c r="I638" s="6"/>
      <c r="J638" s="6"/>
      <c r="K638" s="6"/>
      <c r="L638" s="6"/>
      <c r="M638" s="6"/>
      <c r="P638" s="6"/>
    </row>
    <row r="639" spans="4:16" x14ac:dyDescent="0.25">
      <c r="D639" s="6"/>
      <c r="E639" s="6"/>
      <c r="F639" s="6"/>
      <c r="G639" s="6"/>
      <c r="H639" s="6"/>
      <c r="I639" s="6"/>
      <c r="J639" s="6"/>
      <c r="K639" s="6"/>
      <c r="L639" s="6"/>
      <c r="M639" s="6"/>
      <c r="P639" s="6"/>
    </row>
    <row r="640" spans="4:16" x14ac:dyDescent="0.25">
      <c r="D640" s="6"/>
      <c r="E640" s="6"/>
      <c r="F640" s="6"/>
      <c r="G640" s="6"/>
      <c r="H640" s="6"/>
      <c r="I640" s="6"/>
      <c r="J640" s="6"/>
      <c r="K640" s="6"/>
      <c r="L640" s="6"/>
      <c r="M640" s="6"/>
      <c r="P640" s="6"/>
    </row>
    <row r="641" spans="4:16" x14ac:dyDescent="0.25">
      <c r="D641" s="6"/>
      <c r="E641" s="6"/>
      <c r="F641" s="6"/>
      <c r="G641" s="6"/>
      <c r="H641" s="6"/>
      <c r="I641" s="6"/>
      <c r="J641" s="6"/>
      <c r="K641" s="6"/>
      <c r="L641" s="6"/>
      <c r="M641" s="6"/>
      <c r="P641" s="6"/>
    </row>
    <row r="642" spans="4:16" x14ac:dyDescent="0.25">
      <c r="D642" s="6"/>
      <c r="E642" s="6"/>
      <c r="F642" s="6"/>
      <c r="G642" s="6"/>
      <c r="H642" s="6"/>
      <c r="I642" s="6"/>
      <c r="J642" s="6"/>
      <c r="K642" s="6"/>
      <c r="L642" s="6"/>
      <c r="M642" s="6"/>
      <c r="P642" s="6"/>
    </row>
    <row r="643" spans="4:16" x14ac:dyDescent="0.25">
      <c r="D643" s="6"/>
      <c r="E643" s="6"/>
      <c r="F643" s="6"/>
      <c r="G643" s="6"/>
      <c r="H643" s="6"/>
      <c r="I643" s="6"/>
      <c r="J643" s="6"/>
      <c r="K643" s="6"/>
      <c r="L643" s="6"/>
      <c r="M643" s="6"/>
      <c r="P643" s="6"/>
    </row>
    <row r="644" spans="4:16" x14ac:dyDescent="0.25">
      <c r="D644" s="6"/>
      <c r="E644" s="6"/>
      <c r="F644" s="6"/>
      <c r="G644" s="6"/>
      <c r="H644" s="6"/>
      <c r="I644" s="6"/>
      <c r="J644" s="6"/>
      <c r="K644" s="6"/>
      <c r="L644" s="6"/>
      <c r="M644" s="6"/>
      <c r="P644" s="6"/>
    </row>
    <row r="645" spans="4:16" x14ac:dyDescent="0.25">
      <c r="D645" s="6"/>
      <c r="E645" s="6"/>
      <c r="F645" s="6"/>
      <c r="G645" s="6"/>
      <c r="H645" s="6"/>
      <c r="I645" s="6"/>
      <c r="J645" s="6"/>
      <c r="K645" s="6"/>
      <c r="L645" s="6"/>
      <c r="M645" s="6"/>
      <c r="P645" s="6"/>
    </row>
    <row r="646" spans="4:16" x14ac:dyDescent="0.25">
      <c r="D646" s="6"/>
      <c r="E646" s="6"/>
      <c r="F646" s="6"/>
      <c r="G646" s="6"/>
      <c r="H646" s="6"/>
      <c r="I646" s="6"/>
      <c r="J646" s="6"/>
      <c r="K646" s="6"/>
      <c r="L646" s="6"/>
      <c r="M646" s="6"/>
      <c r="P646" s="6"/>
    </row>
    <row r="647" spans="4:16" x14ac:dyDescent="0.25">
      <c r="D647" s="6"/>
      <c r="E647" s="6"/>
      <c r="F647" s="6"/>
      <c r="G647" s="6"/>
      <c r="H647" s="6"/>
      <c r="I647" s="6"/>
      <c r="J647" s="6"/>
      <c r="K647" s="6"/>
      <c r="L647" s="6"/>
      <c r="M647" s="6"/>
      <c r="P647" s="6"/>
    </row>
    <row r="648" spans="4:16" x14ac:dyDescent="0.25">
      <c r="D648" s="6"/>
      <c r="E648" s="6"/>
      <c r="F648" s="6"/>
      <c r="G648" s="6"/>
      <c r="H648" s="6"/>
      <c r="I648" s="6"/>
      <c r="J648" s="6"/>
      <c r="K648" s="6"/>
      <c r="L648" s="6"/>
      <c r="M648" s="6"/>
      <c r="P648" s="6"/>
    </row>
    <row r="649" spans="4:16" x14ac:dyDescent="0.25">
      <c r="D649" s="6"/>
      <c r="E649" s="6"/>
      <c r="F649" s="6"/>
      <c r="G649" s="6"/>
      <c r="H649" s="6"/>
      <c r="I649" s="6"/>
      <c r="J649" s="6"/>
      <c r="K649" s="6"/>
      <c r="L649" s="6"/>
      <c r="M649" s="6"/>
      <c r="P649" s="6"/>
    </row>
    <row r="650" spans="4:16" x14ac:dyDescent="0.25">
      <c r="D650" s="6"/>
      <c r="E650" s="6"/>
      <c r="F650" s="6"/>
      <c r="G650" s="6"/>
      <c r="H650" s="6"/>
      <c r="I650" s="6"/>
      <c r="J650" s="6"/>
      <c r="K650" s="6"/>
      <c r="L650" s="6"/>
      <c r="M650" s="6"/>
      <c r="P650" s="6"/>
    </row>
    <row r="651" spans="4:16" x14ac:dyDescent="0.25">
      <c r="D651" s="6"/>
      <c r="E651" s="6"/>
      <c r="F651" s="6"/>
      <c r="G651" s="6"/>
      <c r="H651" s="6"/>
      <c r="I651" s="6"/>
      <c r="J651" s="6"/>
      <c r="K651" s="6"/>
      <c r="L651" s="6"/>
      <c r="M651" s="6"/>
      <c r="P651" s="6"/>
    </row>
    <row r="652" spans="4:16" x14ac:dyDescent="0.25">
      <c r="D652" s="6"/>
      <c r="E652" s="6"/>
      <c r="F652" s="6"/>
      <c r="G652" s="6"/>
      <c r="H652" s="6"/>
      <c r="I652" s="6"/>
      <c r="J652" s="6"/>
      <c r="K652" s="6"/>
      <c r="L652" s="6"/>
      <c r="M652" s="6"/>
      <c r="P652" s="6"/>
    </row>
    <row r="653" spans="4:16" x14ac:dyDescent="0.25">
      <c r="D653" s="6"/>
      <c r="E653" s="6"/>
      <c r="F653" s="6"/>
      <c r="G653" s="6"/>
      <c r="H653" s="6"/>
      <c r="I653" s="6"/>
      <c r="J653" s="6"/>
      <c r="K653" s="6"/>
      <c r="L653" s="6"/>
      <c r="M653" s="6"/>
      <c r="P653" s="6"/>
    </row>
    <row r="654" spans="4:16" x14ac:dyDescent="0.25">
      <c r="D654" s="6"/>
      <c r="E654" s="6"/>
      <c r="F654" s="6"/>
      <c r="G654" s="6"/>
      <c r="H654" s="6"/>
      <c r="I654" s="6"/>
      <c r="J654" s="6"/>
      <c r="K654" s="6"/>
      <c r="L654" s="6"/>
      <c r="M654" s="6"/>
      <c r="P654" s="6"/>
    </row>
    <row r="655" spans="4:16" x14ac:dyDescent="0.25">
      <c r="D655" s="6"/>
      <c r="E655" s="6"/>
      <c r="F655" s="6"/>
      <c r="G655" s="6"/>
      <c r="H655" s="6"/>
      <c r="I655" s="6"/>
      <c r="J655" s="6"/>
      <c r="K655" s="6"/>
      <c r="L655" s="6"/>
      <c r="M655" s="6"/>
      <c r="P655" s="6"/>
    </row>
    <row r="656" spans="4:16" x14ac:dyDescent="0.25">
      <c r="D656" s="6"/>
      <c r="E656" s="6"/>
      <c r="F656" s="6"/>
      <c r="G656" s="6"/>
      <c r="H656" s="6"/>
      <c r="I656" s="6"/>
      <c r="J656" s="6"/>
      <c r="K656" s="6"/>
      <c r="L656" s="6"/>
      <c r="M656" s="6"/>
      <c r="P656" s="6"/>
    </row>
    <row r="657" spans="4:16" x14ac:dyDescent="0.25">
      <c r="D657" s="6"/>
      <c r="E657" s="6"/>
      <c r="F657" s="6"/>
      <c r="G657" s="6"/>
      <c r="H657" s="6"/>
      <c r="I657" s="6"/>
      <c r="J657" s="6"/>
      <c r="K657" s="6"/>
      <c r="L657" s="6"/>
      <c r="M657" s="6"/>
      <c r="P657" s="6"/>
    </row>
    <row r="658" spans="4:16" x14ac:dyDescent="0.25">
      <c r="D658" s="6"/>
      <c r="E658" s="6"/>
      <c r="F658" s="6"/>
      <c r="G658" s="6"/>
      <c r="H658" s="6"/>
      <c r="I658" s="6"/>
      <c r="J658" s="6"/>
      <c r="K658" s="6"/>
      <c r="L658" s="6"/>
      <c r="M658" s="6"/>
      <c r="P658" s="6"/>
    </row>
    <row r="659" spans="4:16" x14ac:dyDescent="0.25">
      <c r="D659" s="6"/>
      <c r="E659" s="6"/>
      <c r="F659" s="6"/>
      <c r="G659" s="6"/>
      <c r="H659" s="6"/>
      <c r="I659" s="6"/>
      <c r="J659" s="6"/>
      <c r="K659" s="6"/>
      <c r="L659" s="6"/>
      <c r="M659" s="6"/>
      <c r="P659" s="6"/>
    </row>
    <row r="660" spans="4:16" x14ac:dyDescent="0.25">
      <c r="D660" s="6"/>
      <c r="E660" s="6"/>
      <c r="F660" s="6"/>
      <c r="G660" s="6"/>
      <c r="H660" s="6"/>
      <c r="I660" s="6"/>
      <c r="J660" s="6"/>
      <c r="K660" s="6"/>
      <c r="L660" s="6"/>
      <c r="M660" s="6"/>
      <c r="P660" s="6"/>
    </row>
    <row r="661" spans="4:16" x14ac:dyDescent="0.25">
      <c r="D661" s="6"/>
      <c r="E661" s="6"/>
      <c r="F661" s="6"/>
      <c r="G661" s="6"/>
      <c r="H661" s="6"/>
      <c r="I661" s="6"/>
      <c r="J661" s="6"/>
      <c r="K661" s="6"/>
      <c r="L661" s="6"/>
      <c r="M661" s="6"/>
      <c r="P661" s="6"/>
    </row>
    <row r="662" spans="4:16" x14ac:dyDescent="0.25">
      <c r="D662" s="6"/>
      <c r="E662" s="6"/>
      <c r="F662" s="6"/>
      <c r="G662" s="6"/>
      <c r="H662" s="6"/>
      <c r="I662" s="6"/>
      <c r="J662" s="6"/>
      <c r="K662" s="6"/>
      <c r="L662" s="6"/>
      <c r="M662" s="6"/>
      <c r="P662" s="6"/>
    </row>
    <row r="663" spans="4:16" x14ac:dyDescent="0.25">
      <c r="D663" s="6"/>
      <c r="E663" s="6"/>
      <c r="F663" s="6"/>
      <c r="G663" s="6"/>
      <c r="H663" s="6"/>
      <c r="I663" s="6"/>
      <c r="J663" s="6"/>
      <c r="K663" s="6"/>
      <c r="L663" s="6"/>
      <c r="M663" s="6"/>
      <c r="P663" s="6"/>
    </row>
    <row r="664" spans="4:16" x14ac:dyDescent="0.25">
      <c r="D664" s="6"/>
      <c r="E664" s="6"/>
      <c r="F664" s="6"/>
      <c r="G664" s="6"/>
      <c r="H664" s="6"/>
      <c r="I664" s="6"/>
      <c r="J664" s="6"/>
      <c r="K664" s="6"/>
      <c r="L664" s="6"/>
      <c r="M664" s="6"/>
      <c r="P664" s="6"/>
    </row>
    <row r="665" spans="4:16" x14ac:dyDescent="0.25">
      <c r="D665" s="6"/>
      <c r="E665" s="6"/>
      <c r="F665" s="6"/>
      <c r="G665" s="6"/>
      <c r="H665" s="6"/>
      <c r="I665" s="6"/>
      <c r="J665" s="6"/>
      <c r="K665" s="6"/>
      <c r="L665" s="6"/>
      <c r="M665" s="6"/>
      <c r="P665" s="6"/>
    </row>
    <row r="666" spans="4:16" x14ac:dyDescent="0.25">
      <c r="D666" s="6"/>
      <c r="E666" s="6"/>
      <c r="F666" s="6"/>
      <c r="G666" s="6"/>
      <c r="H666" s="6"/>
      <c r="I666" s="6"/>
      <c r="J666" s="6"/>
      <c r="K666" s="6"/>
      <c r="L666" s="6"/>
      <c r="M666" s="6"/>
      <c r="P666" s="6"/>
    </row>
    <row r="667" spans="4:16" x14ac:dyDescent="0.25">
      <c r="D667" s="6"/>
      <c r="E667" s="6"/>
      <c r="F667" s="6"/>
      <c r="G667" s="6"/>
      <c r="H667" s="6"/>
      <c r="I667" s="6"/>
      <c r="J667" s="6"/>
      <c r="K667" s="6"/>
      <c r="L667" s="6"/>
      <c r="M667" s="6"/>
      <c r="P667" s="6"/>
    </row>
    <row r="668" spans="4:16" x14ac:dyDescent="0.25">
      <c r="D668" s="6"/>
      <c r="E668" s="6"/>
      <c r="F668" s="6"/>
      <c r="G668" s="6"/>
      <c r="H668" s="6"/>
      <c r="I668" s="6"/>
      <c r="J668" s="6"/>
      <c r="K668" s="6"/>
      <c r="L668" s="6"/>
      <c r="M668" s="6"/>
      <c r="P668" s="6"/>
    </row>
    <row r="669" spans="4:16" x14ac:dyDescent="0.25">
      <c r="D669" s="6"/>
      <c r="E669" s="6"/>
      <c r="F669" s="6"/>
      <c r="G669" s="6"/>
      <c r="H669" s="6"/>
      <c r="I669" s="6"/>
      <c r="J669" s="6"/>
      <c r="K669" s="6"/>
      <c r="L669" s="6"/>
      <c r="M669" s="6"/>
      <c r="P669" s="6"/>
    </row>
    <row r="670" spans="4:16" x14ac:dyDescent="0.25">
      <c r="D670" s="6"/>
      <c r="E670" s="6"/>
      <c r="F670" s="6"/>
      <c r="G670" s="6"/>
      <c r="H670" s="6"/>
      <c r="I670" s="6"/>
      <c r="J670" s="6"/>
      <c r="K670" s="6"/>
      <c r="L670" s="6"/>
      <c r="M670" s="6"/>
      <c r="P670" s="6"/>
    </row>
    <row r="671" spans="4:16" x14ac:dyDescent="0.25">
      <c r="D671" s="6"/>
      <c r="E671" s="6"/>
      <c r="F671" s="6"/>
      <c r="G671" s="6"/>
      <c r="H671" s="6"/>
      <c r="I671" s="6"/>
      <c r="J671" s="6"/>
      <c r="K671" s="6"/>
      <c r="L671" s="6"/>
      <c r="M671" s="6"/>
      <c r="P671" s="6"/>
    </row>
    <row r="672" spans="4:16" x14ac:dyDescent="0.25">
      <c r="D672" s="6"/>
      <c r="E672" s="6"/>
      <c r="F672" s="6"/>
      <c r="G672" s="6"/>
      <c r="H672" s="6"/>
      <c r="I672" s="6"/>
      <c r="J672" s="6"/>
      <c r="K672" s="6"/>
      <c r="L672" s="6"/>
      <c r="M672" s="6"/>
      <c r="P672" s="6"/>
    </row>
    <row r="673" spans="4:16" x14ac:dyDescent="0.25">
      <c r="D673" s="6"/>
      <c r="E673" s="6"/>
      <c r="F673" s="6"/>
      <c r="G673" s="6"/>
      <c r="H673" s="6"/>
      <c r="I673" s="6"/>
      <c r="J673" s="6"/>
      <c r="K673" s="6"/>
      <c r="L673" s="6"/>
      <c r="M673" s="6"/>
      <c r="P673" s="6"/>
    </row>
    <row r="674" spans="4:16" x14ac:dyDescent="0.25">
      <c r="D674" s="6"/>
      <c r="E674" s="6"/>
      <c r="F674" s="6"/>
      <c r="G674" s="6"/>
      <c r="H674" s="6"/>
      <c r="I674" s="6"/>
      <c r="J674" s="6"/>
      <c r="K674" s="6"/>
      <c r="L674" s="6"/>
      <c r="M674" s="6"/>
      <c r="P674" s="6"/>
    </row>
    <row r="675" spans="4:16" x14ac:dyDescent="0.25">
      <c r="D675" s="6"/>
      <c r="E675" s="6"/>
      <c r="F675" s="6"/>
      <c r="G675" s="6"/>
      <c r="H675" s="6"/>
      <c r="I675" s="6"/>
      <c r="J675" s="6"/>
      <c r="K675" s="6"/>
      <c r="L675" s="6"/>
      <c r="M675" s="6"/>
      <c r="P675" s="6"/>
    </row>
    <row r="676" spans="4:16" x14ac:dyDescent="0.25">
      <c r="D676" s="6"/>
      <c r="E676" s="6"/>
      <c r="F676" s="6"/>
      <c r="G676" s="6"/>
      <c r="H676" s="6"/>
      <c r="I676" s="6"/>
      <c r="J676" s="6"/>
      <c r="K676" s="6"/>
      <c r="L676" s="6"/>
      <c r="M676" s="6"/>
      <c r="P676" s="6"/>
    </row>
    <row r="677" spans="4:16" x14ac:dyDescent="0.25">
      <c r="D677" s="6"/>
      <c r="E677" s="6"/>
      <c r="F677" s="6"/>
      <c r="G677" s="6"/>
      <c r="H677" s="6"/>
      <c r="I677" s="6"/>
      <c r="J677" s="6"/>
      <c r="K677" s="6"/>
      <c r="L677" s="6"/>
      <c r="M677" s="6"/>
      <c r="P677" s="6"/>
    </row>
    <row r="678" spans="4:16" x14ac:dyDescent="0.25">
      <c r="D678" s="6"/>
      <c r="E678" s="6"/>
      <c r="F678" s="6"/>
      <c r="G678" s="6"/>
      <c r="H678" s="6"/>
      <c r="I678" s="6"/>
      <c r="J678" s="6"/>
      <c r="K678" s="6"/>
      <c r="L678" s="6"/>
      <c r="M678" s="6"/>
      <c r="P678" s="6"/>
    </row>
    <row r="679" spans="4:16" x14ac:dyDescent="0.25">
      <c r="D679" s="6"/>
      <c r="E679" s="6"/>
      <c r="F679" s="6"/>
      <c r="G679" s="6"/>
      <c r="H679" s="6"/>
      <c r="I679" s="6"/>
      <c r="J679" s="6"/>
      <c r="K679" s="6"/>
      <c r="L679" s="6"/>
      <c r="M679" s="6"/>
      <c r="P679" s="6"/>
    </row>
    <row r="680" spans="4:16" x14ac:dyDescent="0.25">
      <c r="D680" s="6"/>
      <c r="E680" s="6"/>
      <c r="F680" s="6"/>
      <c r="G680" s="6"/>
      <c r="H680" s="6"/>
      <c r="I680" s="6"/>
      <c r="J680" s="6"/>
      <c r="K680" s="6"/>
      <c r="L680" s="6"/>
      <c r="M680" s="6"/>
      <c r="P680" s="6"/>
    </row>
    <row r="681" spans="4:16" x14ac:dyDescent="0.25">
      <c r="D681" s="6"/>
      <c r="E681" s="6"/>
      <c r="F681" s="6"/>
      <c r="G681" s="6"/>
      <c r="H681" s="6"/>
      <c r="I681" s="6"/>
      <c r="J681" s="6"/>
      <c r="K681" s="6"/>
      <c r="L681" s="6"/>
      <c r="M681" s="6"/>
      <c r="P681" s="6"/>
    </row>
    <row r="682" spans="4:16" x14ac:dyDescent="0.25">
      <c r="D682" s="6"/>
      <c r="E682" s="6"/>
      <c r="F682" s="6"/>
      <c r="G682" s="6"/>
      <c r="H682" s="6"/>
      <c r="I682" s="6"/>
      <c r="J682" s="6"/>
      <c r="K682" s="6"/>
      <c r="L682" s="6"/>
      <c r="M682" s="6"/>
      <c r="P682" s="6"/>
    </row>
    <row r="683" spans="4:16" x14ac:dyDescent="0.25">
      <c r="D683" s="6"/>
      <c r="E683" s="6"/>
      <c r="F683" s="6"/>
      <c r="G683" s="6"/>
      <c r="H683" s="6"/>
      <c r="I683" s="6"/>
      <c r="J683" s="6"/>
      <c r="K683" s="6"/>
      <c r="L683" s="6"/>
      <c r="M683" s="6"/>
      <c r="P683" s="6"/>
    </row>
    <row r="684" spans="4:16" x14ac:dyDescent="0.25">
      <c r="D684" s="6"/>
      <c r="E684" s="6"/>
      <c r="F684" s="6"/>
      <c r="G684" s="6"/>
      <c r="H684" s="6"/>
      <c r="I684" s="6"/>
      <c r="J684" s="6"/>
      <c r="K684" s="6"/>
      <c r="L684" s="6"/>
      <c r="M684" s="6"/>
      <c r="P684" s="6"/>
    </row>
    <row r="685" spans="4:16" x14ac:dyDescent="0.25">
      <c r="D685" s="6"/>
      <c r="E685" s="6"/>
      <c r="F685" s="6"/>
      <c r="G685" s="6"/>
      <c r="H685" s="6"/>
      <c r="I685" s="6"/>
      <c r="J685" s="6"/>
      <c r="K685" s="6"/>
      <c r="L685" s="6"/>
      <c r="M685" s="6"/>
      <c r="P685" s="6"/>
    </row>
    <row r="686" spans="4:16" x14ac:dyDescent="0.25">
      <c r="D686" s="6"/>
      <c r="E686" s="6"/>
      <c r="F686" s="6"/>
      <c r="G686" s="6"/>
      <c r="H686" s="6"/>
      <c r="I686" s="6"/>
      <c r="J686" s="6"/>
      <c r="K686" s="6"/>
      <c r="L686" s="6"/>
      <c r="M686" s="6"/>
      <c r="P686" s="6"/>
    </row>
    <row r="687" spans="4:16" x14ac:dyDescent="0.25">
      <c r="D687" s="6"/>
      <c r="E687" s="6"/>
      <c r="F687" s="6"/>
      <c r="G687" s="6"/>
      <c r="H687" s="6"/>
      <c r="I687" s="6"/>
      <c r="J687" s="6"/>
      <c r="K687" s="6"/>
      <c r="L687" s="6"/>
      <c r="M687" s="6"/>
      <c r="P687" s="6"/>
    </row>
    <row r="688" spans="4:16" x14ac:dyDescent="0.25">
      <c r="D688" s="6"/>
      <c r="E688" s="6"/>
      <c r="F688" s="6"/>
      <c r="G688" s="6"/>
      <c r="H688" s="6"/>
      <c r="I688" s="6"/>
      <c r="J688" s="6"/>
      <c r="K688" s="6"/>
      <c r="L688" s="6"/>
      <c r="M688" s="6"/>
      <c r="P688" s="6"/>
    </row>
    <row r="689" spans="4:16" x14ac:dyDescent="0.25">
      <c r="D689" s="6"/>
      <c r="E689" s="6"/>
      <c r="F689" s="6"/>
      <c r="G689" s="6"/>
      <c r="H689" s="6"/>
      <c r="I689" s="6"/>
      <c r="J689" s="6"/>
      <c r="K689" s="6"/>
      <c r="L689" s="6"/>
      <c r="M689" s="6"/>
      <c r="P689" s="6"/>
    </row>
    <row r="690" spans="4:16" x14ac:dyDescent="0.25">
      <c r="D690" s="6"/>
      <c r="E690" s="6"/>
      <c r="F690" s="6"/>
      <c r="G690" s="6"/>
      <c r="H690" s="6"/>
      <c r="I690" s="6"/>
      <c r="J690" s="6"/>
      <c r="K690" s="6"/>
      <c r="L690" s="6"/>
      <c r="M690" s="6"/>
      <c r="P690" s="6"/>
    </row>
    <row r="691" spans="4:16" x14ac:dyDescent="0.25">
      <c r="D691" s="6"/>
      <c r="E691" s="6"/>
      <c r="F691" s="6"/>
      <c r="G691" s="6"/>
      <c r="H691" s="6"/>
      <c r="I691" s="6"/>
      <c r="J691" s="6"/>
      <c r="K691" s="6"/>
      <c r="L691" s="6"/>
      <c r="M691" s="6"/>
      <c r="P691" s="6"/>
    </row>
    <row r="692" spans="4:16" x14ac:dyDescent="0.25">
      <c r="D692" s="6"/>
      <c r="E692" s="6"/>
      <c r="F692" s="6"/>
      <c r="G692" s="6"/>
      <c r="H692" s="6"/>
      <c r="I692" s="6"/>
      <c r="J692" s="6"/>
      <c r="K692" s="6"/>
      <c r="L692" s="6"/>
      <c r="M692" s="6"/>
      <c r="P692" s="6"/>
    </row>
    <row r="693" spans="4:16" x14ac:dyDescent="0.25">
      <c r="D693" s="6"/>
      <c r="E693" s="6"/>
      <c r="F693" s="6"/>
      <c r="G693" s="6"/>
      <c r="H693" s="6"/>
      <c r="I693" s="6"/>
      <c r="J693" s="6"/>
      <c r="K693" s="6"/>
      <c r="L693" s="6"/>
      <c r="M693" s="6"/>
      <c r="P693" s="6"/>
    </row>
    <row r="694" spans="4:16" x14ac:dyDescent="0.25">
      <c r="D694" s="6"/>
      <c r="E694" s="6"/>
      <c r="F694" s="6"/>
      <c r="G694" s="6"/>
      <c r="H694" s="6"/>
      <c r="I694" s="6"/>
      <c r="J694" s="6"/>
      <c r="K694" s="6"/>
      <c r="L694" s="6"/>
      <c r="M694" s="6"/>
      <c r="P694" s="6"/>
    </row>
    <row r="695" spans="4:16" x14ac:dyDescent="0.25">
      <c r="D695" s="6"/>
      <c r="E695" s="6"/>
      <c r="F695" s="6"/>
      <c r="G695" s="6"/>
      <c r="H695" s="6"/>
      <c r="I695" s="6"/>
      <c r="J695" s="6"/>
      <c r="K695" s="6"/>
      <c r="L695" s="6"/>
      <c r="M695" s="6"/>
      <c r="P695" s="6"/>
    </row>
    <row r="696" spans="4:16" x14ac:dyDescent="0.25">
      <c r="D696" s="6"/>
      <c r="E696" s="6"/>
      <c r="F696" s="6"/>
      <c r="G696" s="6"/>
      <c r="H696" s="6"/>
      <c r="I696" s="6"/>
      <c r="J696" s="6"/>
      <c r="K696" s="6"/>
      <c r="L696" s="6"/>
      <c r="M696" s="6"/>
      <c r="P696" s="6"/>
    </row>
    <row r="697" spans="4:16" x14ac:dyDescent="0.25">
      <c r="D697" s="6"/>
      <c r="E697" s="6"/>
      <c r="F697" s="6"/>
      <c r="G697" s="6"/>
      <c r="H697" s="6"/>
      <c r="I697" s="6"/>
      <c r="J697" s="6"/>
      <c r="K697" s="6"/>
      <c r="L697" s="6"/>
      <c r="M697" s="6"/>
      <c r="P697" s="6"/>
    </row>
    <row r="698" spans="4:16" x14ac:dyDescent="0.25">
      <c r="D698" s="6"/>
      <c r="E698" s="6"/>
      <c r="F698" s="6"/>
      <c r="G698" s="6"/>
      <c r="H698" s="6"/>
      <c r="I698" s="6"/>
      <c r="J698" s="6"/>
      <c r="K698" s="6"/>
      <c r="L698" s="6"/>
      <c r="M698" s="6"/>
      <c r="P698" s="6"/>
    </row>
    <row r="699" spans="4:16" x14ac:dyDescent="0.25">
      <c r="D699" s="6"/>
      <c r="E699" s="6"/>
      <c r="F699" s="6"/>
      <c r="G699" s="6"/>
      <c r="H699" s="6"/>
      <c r="I699" s="6"/>
      <c r="J699" s="6"/>
      <c r="K699" s="6"/>
      <c r="L699" s="6"/>
      <c r="M699" s="6"/>
      <c r="P699" s="6"/>
    </row>
    <row r="700" spans="4:16" x14ac:dyDescent="0.25">
      <c r="D700" s="6"/>
      <c r="E700" s="6"/>
      <c r="F700" s="6"/>
      <c r="G700" s="6"/>
      <c r="H700" s="6"/>
      <c r="I700" s="6"/>
      <c r="J700" s="6"/>
      <c r="K700" s="6"/>
      <c r="L700" s="6"/>
      <c r="M700" s="6"/>
      <c r="P700" s="6"/>
    </row>
    <row r="701" spans="4:16" x14ac:dyDescent="0.25">
      <c r="D701" s="6"/>
      <c r="E701" s="6"/>
      <c r="F701" s="6"/>
      <c r="G701" s="6"/>
      <c r="H701" s="6"/>
      <c r="I701" s="6"/>
      <c r="J701" s="6"/>
      <c r="K701" s="6"/>
      <c r="L701" s="6"/>
      <c r="M701" s="6"/>
      <c r="P701" s="6"/>
    </row>
    <row r="702" spans="4:16" x14ac:dyDescent="0.25">
      <c r="D702" s="6"/>
      <c r="E702" s="6"/>
      <c r="F702" s="6"/>
      <c r="G702" s="6"/>
      <c r="H702" s="6"/>
      <c r="I702" s="6"/>
      <c r="J702" s="6"/>
      <c r="K702" s="6"/>
      <c r="L702" s="6"/>
      <c r="M702" s="6"/>
      <c r="P702" s="6"/>
    </row>
    <row r="703" spans="4:16" x14ac:dyDescent="0.25">
      <c r="D703" s="6"/>
      <c r="E703" s="6"/>
      <c r="F703" s="6"/>
      <c r="G703" s="6"/>
      <c r="H703" s="6"/>
      <c r="I703" s="6"/>
      <c r="J703" s="6"/>
      <c r="K703" s="6"/>
      <c r="L703" s="6"/>
      <c r="M703" s="6"/>
      <c r="P703" s="6"/>
    </row>
    <row r="704" spans="4:16" x14ac:dyDescent="0.25">
      <c r="D704" s="6"/>
      <c r="E704" s="6"/>
      <c r="F704" s="6"/>
      <c r="G704" s="6"/>
      <c r="H704" s="6"/>
      <c r="I704" s="6"/>
      <c r="J704" s="6"/>
      <c r="K704" s="6"/>
      <c r="L704" s="6"/>
      <c r="M704" s="6"/>
      <c r="P704" s="6"/>
    </row>
    <row r="705" spans="4:16" x14ac:dyDescent="0.25">
      <c r="D705" s="6"/>
      <c r="E705" s="6"/>
      <c r="F705" s="6"/>
      <c r="G705" s="6"/>
      <c r="H705" s="6"/>
      <c r="I705" s="6"/>
      <c r="J705" s="6"/>
      <c r="K705" s="6"/>
      <c r="L705" s="6"/>
      <c r="M705" s="6"/>
      <c r="P705" s="6"/>
    </row>
    <row r="706" spans="4:16" x14ac:dyDescent="0.25">
      <c r="D706" s="6"/>
      <c r="E706" s="6"/>
      <c r="F706" s="6"/>
      <c r="G706" s="6"/>
      <c r="H706" s="6"/>
      <c r="I706" s="6"/>
      <c r="J706" s="6"/>
      <c r="K706" s="6"/>
      <c r="L706" s="6"/>
      <c r="M706" s="6"/>
      <c r="P706" s="6"/>
    </row>
    <row r="707" spans="4:16" x14ac:dyDescent="0.25">
      <c r="D707" s="6"/>
      <c r="E707" s="6"/>
      <c r="F707" s="6"/>
      <c r="G707" s="6"/>
      <c r="H707" s="6"/>
      <c r="I707" s="6"/>
      <c r="J707" s="6"/>
      <c r="K707" s="6"/>
      <c r="L707" s="6"/>
      <c r="M707" s="6"/>
      <c r="P707" s="6"/>
    </row>
    <row r="708" spans="4:16" x14ac:dyDescent="0.25">
      <c r="D708" s="6"/>
      <c r="E708" s="6"/>
      <c r="F708" s="6"/>
      <c r="G708" s="6"/>
      <c r="H708" s="6"/>
      <c r="I708" s="6"/>
      <c r="J708" s="6"/>
      <c r="K708" s="6"/>
      <c r="L708" s="6"/>
      <c r="M708" s="6"/>
      <c r="P708" s="6"/>
    </row>
    <row r="709" spans="4:16" x14ac:dyDescent="0.25">
      <c r="D709" s="6"/>
      <c r="E709" s="6"/>
      <c r="F709" s="6"/>
      <c r="G709" s="6"/>
      <c r="H709" s="6"/>
      <c r="I709" s="6"/>
      <c r="J709" s="6"/>
      <c r="K709" s="6"/>
      <c r="L709" s="6"/>
      <c r="M709" s="6"/>
      <c r="P709" s="6"/>
    </row>
    <row r="710" spans="4:16" x14ac:dyDescent="0.25">
      <c r="D710" s="6"/>
      <c r="E710" s="6"/>
      <c r="F710" s="6"/>
      <c r="G710" s="6"/>
      <c r="H710" s="6"/>
      <c r="I710" s="6"/>
      <c r="J710" s="6"/>
      <c r="K710" s="6"/>
      <c r="L710" s="6"/>
      <c r="M710" s="6"/>
      <c r="P710" s="6"/>
    </row>
    <row r="711" spans="4:16" x14ac:dyDescent="0.25">
      <c r="D711" s="6"/>
      <c r="E711" s="6"/>
      <c r="F711" s="6"/>
      <c r="G711" s="6"/>
      <c r="H711" s="6"/>
      <c r="I711" s="6"/>
      <c r="J711" s="6"/>
      <c r="K711" s="6"/>
      <c r="L711" s="6"/>
      <c r="M711" s="6"/>
      <c r="P711" s="6"/>
    </row>
    <row r="712" spans="4:16" x14ac:dyDescent="0.25">
      <c r="D712" s="6"/>
      <c r="E712" s="6"/>
      <c r="F712" s="6"/>
      <c r="G712" s="6"/>
      <c r="H712" s="6"/>
      <c r="I712" s="6"/>
      <c r="J712" s="6"/>
      <c r="K712" s="6"/>
      <c r="L712" s="6"/>
      <c r="M712" s="6"/>
      <c r="P712" s="6"/>
    </row>
    <row r="713" spans="4:16" x14ac:dyDescent="0.25">
      <c r="D713" s="6"/>
      <c r="E713" s="6"/>
      <c r="F713" s="6"/>
      <c r="G713" s="6"/>
      <c r="H713" s="6"/>
      <c r="I713" s="6"/>
      <c r="J713" s="6"/>
      <c r="K713" s="6"/>
      <c r="L713" s="6"/>
      <c r="M713" s="6"/>
      <c r="P713" s="6"/>
    </row>
    <row r="714" spans="4:16" x14ac:dyDescent="0.25">
      <c r="D714" s="6"/>
      <c r="E714" s="6"/>
      <c r="F714" s="6"/>
      <c r="G714" s="6"/>
      <c r="H714" s="6"/>
      <c r="I714" s="6"/>
      <c r="J714" s="6"/>
      <c r="K714" s="6"/>
      <c r="L714" s="6"/>
      <c r="M714" s="6"/>
      <c r="P714" s="6"/>
    </row>
    <row r="715" spans="4:16" x14ac:dyDescent="0.25">
      <c r="D715" s="6"/>
      <c r="E715" s="6"/>
      <c r="F715" s="6"/>
      <c r="G715" s="6"/>
      <c r="H715" s="6"/>
      <c r="I715" s="6"/>
      <c r="J715" s="6"/>
      <c r="K715" s="6"/>
      <c r="L715" s="6"/>
      <c r="M715" s="6"/>
      <c r="P715" s="6"/>
    </row>
    <row r="716" spans="4:16" x14ac:dyDescent="0.25">
      <c r="D716" s="6"/>
      <c r="E716" s="6"/>
      <c r="F716" s="6"/>
      <c r="G716" s="6"/>
      <c r="H716" s="6"/>
      <c r="I716" s="6"/>
      <c r="J716" s="6"/>
      <c r="K716" s="6"/>
      <c r="L716" s="6"/>
      <c r="M716" s="6"/>
      <c r="P716" s="6"/>
    </row>
    <row r="717" spans="4:16" x14ac:dyDescent="0.25">
      <c r="D717" s="6"/>
      <c r="E717" s="6"/>
      <c r="F717" s="6"/>
      <c r="G717" s="6"/>
      <c r="H717" s="6"/>
      <c r="I717" s="6"/>
      <c r="J717" s="6"/>
      <c r="K717" s="6"/>
      <c r="L717" s="6"/>
      <c r="M717" s="6"/>
      <c r="P717" s="6"/>
    </row>
    <row r="718" spans="4:16" x14ac:dyDescent="0.25">
      <c r="D718" s="6"/>
      <c r="E718" s="6"/>
      <c r="F718" s="6"/>
      <c r="G718" s="6"/>
      <c r="H718" s="6"/>
      <c r="I718" s="6"/>
      <c r="J718" s="6"/>
      <c r="K718" s="6"/>
      <c r="L718" s="6"/>
      <c r="M718" s="6"/>
      <c r="P718" s="6"/>
    </row>
    <row r="719" spans="4:16" x14ac:dyDescent="0.25">
      <c r="D719" s="6"/>
      <c r="E719" s="6"/>
      <c r="F719" s="6"/>
      <c r="G719" s="6"/>
      <c r="H719" s="6"/>
      <c r="I719" s="6"/>
      <c r="J719" s="6"/>
      <c r="K719" s="6"/>
      <c r="L719" s="6"/>
      <c r="M719" s="6"/>
      <c r="P719" s="6"/>
    </row>
    <row r="720" spans="4:16" x14ac:dyDescent="0.25">
      <c r="D720" s="6"/>
      <c r="E720" s="6"/>
      <c r="F720" s="6"/>
      <c r="G720" s="6"/>
      <c r="H720" s="6"/>
      <c r="I720" s="6"/>
      <c r="J720" s="6"/>
      <c r="K720" s="6"/>
      <c r="L720" s="6"/>
      <c r="M720" s="6"/>
      <c r="P720" s="6"/>
    </row>
    <row r="721" spans="4:16" x14ac:dyDescent="0.25">
      <c r="D721" s="6"/>
      <c r="E721" s="6"/>
      <c r="F721" s="6"/>
      <c r="G721" s="6"/>
      <c r="H721" s="6"/>
      <c r="I721" s="6"/>
      <c r="J721" s="6"/>
      <c r="K721" s="6"/>
      <c r="L721" s="6"/>
      <c r="M721" s="6"/>
      <c r="P721" s="6"/>
    </row>
    <row r="722" spans="4:16" x14ac:dyDescent="0.25">
      <c r="D722" s="6"/>
      <c r="E722" s="6"/>
      <c r="F722" s="6"/>
      <c r="G722" s="6"/>
      <c r="H722" s="6"/>
      <c r="I722" s="6"/>
      <c r="J722" s="6"/>
      <c r="K722" s="6"/>
      <c r="L722" s="6"/>
      <c r="M722" s="6"/>
      <c r="P722" s="6"/>
    </row>
    <row r="723" spans="4:16" x14ac:dyDescent="0.25">
      <c r="D723" s="6"/>
      <c r="E723" s="6"/>
      <c r="F723" s="6"/>
      <c r="G723" s="6"/>
      <c r="H723" s="6"/>
      <c r="I723" s="6"/>
      <c r="J723" s="6"/>
      <c r="K723" s="6"/>
      <c r="L723" s="6"/>
      <c r="M723" s="6"/>
      <c r="P723" s="6"/>
    </row>
    <row r="724" spans="4:16" x14ac:dyDescent="0.25">
      <c r="D724" s="6"/>
      <c r="E724" s="6"/>
      <c r="F724" s="6"/>
      <c r="G724" s="6"/>
      <c r="H724" s="6"/>
      <c r="I724" s="6"/>
      <c r="J724" s="6"/>
      <c r="K724" s="6"/>
      <c r="L724" s="6"/>
      <c r="M724" s="6"/>
      <c r="P724" s="6"/>
    </row>
    <row r="725" spans="4:16" x14ac:dyDescent="0.25">
      <c r="D725" s="6"/>
      <c r="E725" s="6"/>
      <c r="F725" s="6"/>
      <c r="G725" s="6"/>
      <c r="H725" s="6"/>
      <c r="I725" s="6"/>
      <c r="J725" s="6"/>
      <c r="K725" s="6"/>
      <c r="L725" s="6"/>
      <c r="M725" s="6"/>
      <c r="P725" s="6"/>
    </row>
    <row r="726" spans="4:16" x14ac:dyDescent="0.25">
      <c r="D726" s="6"/>
      <c r="E726" s="6"/>
      <c r="F726" s="6"/>
      <c r="G726" s="6"/>
      <c r="H726" s="6"/>
      <c r="I726" s="6"/>
      <c r="J726" s="6"/>
      <c r="K726" s="6"/>
      <c r="L726" s="6"/>
      <c r="M726" s="6"/>
      <c r="P726" s="6"/>
    </row>
    <row r="727" spans="4:16" x14ac:dyDescent="0.25">
      <c r="D727" s="6"/>
      <c r="E727" s="6"/>
      <c r="F727" s="6"/>
      <c r="G727" s="6"/>
      <c r="H727" s="6"/>
      <c r="I727" s="6"/>
      <c r="J727" s="6"/>
      <c r="K727" s="6"/>
      <c r="L727" s="6"/>
      <c r="M727" s="6"/>
      <c r="P727" s="6"/>
    </row>
    <row r="728" spans="4:16" x14ac:dyDescent="0.25">
      <c r="D728" s="6"/>
      <c r="E728" s="6"/>
      <c r="F728" s="6"/>
      <c r="G728" s="6"/>
      <c r="H728" s="6"/>
      <c r="I728" s="6"/>
      <c r="J728" s="6"/>
      <c r="K728" s="6"/>
      <c r="L728" s="6"/>
      <c r="M728" s="6"/>
      <c r="P728" s="6"/>
    </row>
    <row r="729" spans="4:16" x14ac:dyDescent="0.25">
      <c r="D729" s="6"/>
      <c r="E729" s="6"/>
      <c r="F729" s="6"/>
      <c r="G729" s="6"/>
      <c r="H729" s="6"/>
      <c r="I729" s="6"/>
      <c r="J729" s="6"/>
      <c r="K729" s="6"/>
      <c r="L729" s="6"/>
      <c r="M729" s="6"/>
      <c r="P729" s="6"/>
    </row>
    <row r="730" spans="4:16" x14ac:dyDescent="0.25">
      <c r="D730" s="6"/>
      <c r="E730" s="6"/>
      <c r="F730" s="6"/>
      <c r="G730" s="6"/>
      <c r="H730" s="6"/>
      <c r="I730" s="6"/>
      <c r="J730" s="6"/>
      <c r="K730" s="6"/>
      <c r="L730" s="6"/>
      <c r="M730" s="6"/>
      <c r="P730" s="6"/>
    </row>
    <row r="731" spans="4:16" x14ac:dyDescent="0.25">
      <c r="D731" s="6"/>
      <c r="E731" s="6"/>
      <c r="F731" s="6"/>
      <c r="G731" s="6"/>
      <c r="H731" s="6"/>
      <c r="I731" s="6"/>
      <c r="J731" s="6"/>
      <c r="K731" s="6"/>
      <c r="L731" s="6"/>
      <c r="M731" s="6"/>
      <c r="P731" s="6"/>
    </row>
    <row r="732" spans="4:16" x14ac:dyDescent="0.25">
      <c r="D732" s="6"/>
      <c r="E732" s="6"/>
      <c r="F732" s="6"/>
      <c r="G732" s="6"/>
      <c r="H732" s="6"/>
      <c r="I732" s="6"/>
      <c r="J732" s="6"/>
      <c r="K732" s="6"/>
      <c r="L732" s="6"/>
      <c r="M732" s="6"/>
      <c r="P732" s="6"/>
    </row>
    <row r="733" spans="4:16" x14ac:dyDescent="0.25">
      <c r="D733" s="6"/>
      <c r="E733" s="6"/>
      <c r="F733" s="6"/>
      <c r="G733" s="6"/>
      <c r="H733" s="6"/>
      <c r="I733" s="6"/>
      <c r="J733" s="6"/>
      <c r="K733" s="6"/>
      <c r="L733" s="6"/>
      <c r="M733" s="6"/>
      <c r="P733" s="6"/>
    </row>
    <row r="734" spans="4:16" x14ac:dyDescent="0.25">
      <c r="D734" s="6"/>
      <c r="E734" s="6"/>
      <c r="F734" s="6"/>
      <c r="G734" s="6"/>
      <c r="H734" s="6"/>
      <c r="I734" s="6"/>
      <c r="J734" s="6"/>
      <c r="K734" s="6"/>
      <c r="L734" s="6"/>
      <c r="M734" s="6"/>
      <c r="P734" s="6"/>
    </row>
    <row r="735" spans="4:16" x14ac:dyDescent="0.25">
      <c r="D735" s="6"/>
      <c r="E735" s="6"/>
      <c r="F735" s="6"/>
      <c r="G735" s="6"/>
      <c r="H735" s="6"/>
      <c r="I735" s="6"/>
      <c r="J735" s="6"/>
      <c r="K735" s="6"/>
      <c r="L735" s="6"/>
      <c r="M735" s="6"/>
      <c r="P735" s="6"/>
    </row>
    <row r="736" spans="4:16" x14ac:dyDescent="0.25">
      <c r="D736" s="6"/>
      <c r="E736" s="6"/>
      <c r="F736" s="6"/>
      <c r="G736" s="6"/>
      <c r="H736" s="6"/>
      <c r="I736" s="6"/>
      <c r="J736" s="6"/>
      <c r="K736" s="6"/>
      <c r="L736" s="6"/>
      <c r="M736" s="6"/>
      <c r="P736" s="6"/>
    </row>
    <row r="737" spans="4:16" x14ac:dyDescent="0.25">
      <c r="D737" s="6"/>
      <c r="E737" s="6"/>
      <c r="F737" s="6"/>
      <c r="G737" s="6"/>
      <c r="H737" s="6"/>
      <c r="I737" s="6"/>
      <c r="J737" s="6"/>
      <c r="K737" s="6"/>
      <c r="L737" s="6"/>
      <c r="M737" s="6"/>
      <c r="P737" s="6"/>
    </row>
    <row r="738" spans="4:16" x14ac:dyDescent="0.25">
      <c r="D738" s="6"/>
      <c r="E738" s="6"/>
      <c r="F738" s="6"/>
      <c r="G738" s="6"/>
      <c r="H738" s="6"/>
      <c r="I738" s="6"/>
      <c r="J738" s="6"/>
      <c r="K738" s="6"/>
      <c r="L738" s="6"/>
      <c r="M738" s="6"/>
      <c r="P738" s="6"/>
    </row>
    <row r="739" spans="4:16" x14ac:dyDescent="0.25">
      <c r="D739" s="6"/>
      <c r="E739" s="6"/>
      <c r="F739" s="6"/>
      <c r="G739" s="6"/>
      <c r="H739" s="6"/>
      <c r="I739" s="6"/>
      <c r="J739" s="6"/>
      <c r="K739" s="6"/>
      <c r="L739" s="6"/>
      <c r="M739" s="6"/>
      <c r="P739" s="6"/>
    </row>
    <row r="740" spans="4:16" x14ac:dyDescent="0.25">
      <c r="D740" s="6"/>
      <c r="E740" s="6"/>
      <c r="F740" s="6"/>
      <c r="G740" s="6"/>
      <c r="H740" s="6"/>
      <c r="I740" s="6"/>
      <c r="J740" s="6"/>
      <c r="K740" s="6"/>
      <c r="L740" s="6"/>
      <c r="M740" s="6"/>
      <c r="P740" s="6"/>
    </row>
    <row r="741" spans="4:16" x14ac:dyDescent="0.25">
      <c r="D741" s="6"/>
      <c r="E741" s="6"/>
      <c r="F741" s="6"/>
      <c r="G741" s="6"/>
      <c r="H741" s="6"/>
      <c r="I741" s="6"/>
      <c r="J741" s="6"/>
      <c r="K741" s="6"/>
      <c r="L741" s="6"/>
      <c r="M741" s="6"/>
      <c r="P741" s="6"/>
    </row>
    <row r="742" spans="4:16" x14ac:dyDescent="0.25">
      <c r="D742" s="6"/>
      <c r="E742" s="6"/>
      <c r="F742" s="6"/>
      <c r="G742" s="6"/>
      <c r="H742" s="6"/>
      <c r="I742" s="6"/>
      <c r="J742" s="6"/>
      <c r="K742" s="6"/>
      <c r="L742" s="6"/>
      <c r="M742" s="6"/>
      <c r="P742" s="6"/>
    </row>
    <row r="743" spans="4:16" x14ac:dyDescent="0.25">
      <c r="D743" s="6"/>
      <c r="E743" s="6"/>
      <c r="F743" s="6"/>
      <c r="G743" s="6"/>
      <c r="H743" s="6"/>
      <c r="I743" s="6"/>
      <c r="J743" s="6"/>
      <c r="K743" s="6"/>
      <c r="L743" s="6"/>
      <c r="M743" s="6"/>
      <c r="P743" s="6"/>
    </row>
    <row r="744" spans="4:16" x14ac:dyDescent="0.25">
      <c r="D744" s="6"/>
      <c r="E744" s="6"/>
      <c r="F744" s="6"/>
      <c r="G744" s="6"/>
      <c r="H744" s="6"/>
      <c r="I744" s="6"/>
      <c r="J744" s="6"/>
      <c r="K744" s="6"/>
      <c r="L744" s="6"/>
      <c r="M744" s="6"/>
      <c r="P744" s="6"/>
    </row>
    <row r="745" spans="4:16" x14ac:dyDescent="0.25">
      <c r="D745" s="6"/>
      <c r="E745" s="6"/>
      <c r="F745" s="6"/>
      <c r="G745" s="6"/>
      <c r="H745" s="6"/>
      <c r="I745" s="6"/>
      <c r="J745" s="6"/>
      <c r="K745" s="6"/>
      <c r="L745" s="6"/>
      <c r="M745" s="6"/>
      <c r="P745" s="6"/>
    </row>
    <row r="746" spans="4:16" x14ac:dyDescent="0.25">
      <c r="D746" s="6"/>
      <c r="E746" s="6"/>
      <c r="F746" s="6"/>
      <c r="G746" s="6"/>
      <c r="H746" s="6"/>
      <c r="I746" s="6"/>
      <c r="J746" s="6"/>
      <c r="K746" s="6"/>
      <c r="L746" s="6"/>
      <c r="M746" s="6"/>
      <c r="P746" s="6"/>
    </row>
    <row r="747" spans="4:16" x14ac:dyDescent="0.25">
      <c r="D747" s="6"/>
      <c r="E747" s="6"/>
      <c r="F747" s="6"/>
      <c r="G747" s="6"/>
      <c r="H747" s="6"/>
      <c r="I747" s="6"/>
      <c r="J747" s="6"/>
      <c r="K747" s="6"/>
      <c r="L747" s="6"/>
      <c r="M747" s="6"/>
      <c r="P747" s="6"/>
    </row>
    <row r="748" spans="4:16" x14ac:dyDescent="0.25">
      <c r="D748" s="6"/>
      <c r="E748" s="6"/>
      <c r="F748" s="6"/>
      <c r="G748" s="6"/>
      <c r="H748" s="6"/>
      <c r="I748" s="6"/>
      <c r="J748" s="6"/>
      <c r="K748" s="6"/>
      <c r="L748" s="6"/>
      <c r="M748" s="6"/>
      <c r="P748" s="6"/>
    </row>
    <row r="749" spans="4:16" x14ac:dyDescent="0.25">
      <c r="D749" s="6"/>
      <c r="E749" s="6"/>
      <c r="F749" s="6"/>
      <c r="G749" s="6"/>
      <c r="H749" s="6"/>
      <c r="I749" s="6"/>
      <c r="J749" s="6"/>
      <c r="K749" s="6"/>
      <c r="L749" s="6"/>
      <c r="M749" s="6"/>
      <c r="P749" s="6"/>
    </row>
    <row r="750" spans="4:16" x14ac:dyDescent="0.25">
      <c r="D750" s="6"/>
      <c r="E750" s="6"/>
      <c r="F750" s="6"/>
      <c r="G750" s="6"/>
      <c r="H750" s="6"/>
      <c r="I750" s="6"/>
      <c r="J750" s="6"/>
      <c r="K750" s="6"/>
      <c r="L750" s="6"/>
      <c r="M750" s="6"/>
      <c r="P750" s="6"/>
    </row>
    <row r="751" spans="4:16" x14ac:dyDescent="0.25">
      <c r="D751" s="6"/>
      <c r="E751" s="6"/>
      <c r="F751" s="6"/>
      <c r="G751" s="6"/>
      <c r="H751" s="6"/>
      <c r="I751" s="6"/>
      <c r="J751" s="6"/>
      <c r="K751" s="6"/>
      <c r="L751" s="6"/>
      <c r="M751" s="6"/>
      <c r="P751" s="6"/>
    </row>
    <row r="752" spans="4:16" x14ac:dyDescent="0.25">
      <c r="D752" s="6"/>
      <c r="E752" s="6"/>
      <c r="F752" s="6"/>
      <c r="G752" s="6"/>
      <c r="H752" s="6"/>
      <c r="I752" s="6"/>
      <c r="J752" s="6"/>
      <c r="K752" s="6"/>
      <c r="L752" s="6"/>
      <c r="M752" s="6"/>
      <c r="P752" s="6"/>
    </row>
    <row r="753" spans="4:16" x14ac:dyDescent="0.25">
      <c r="D753" s="6"/>
      <c r="E753" s="6"/>
      <c r="F753" s="6"/>
      <c r="G753" s="6"/>
      <c r="H753" s="6"/>
      <c r="I753" s="6"/>
      <c r="J753" s="6"/>
      <c r="K753" s="6"/>
      <c r="L753" s="6"/>
      <c r="M753" s="6"/>
      <c r="P753" s="6"/>
    </row>
    <row r="754" spans="4:16" x14ac:dyDescent="0.25">
      <c r="D754" s="6"/>
      <c r="E754" s="6"/>
      <c r="F754" s="6"/>
      <c r="G754" s="6"/>
      <c r="H754" s="6"/>
      <c r="I754" s="6"/>
      <c r="J754" s="6"/>
      <c r="K754" s="6"/>
      <c r="L754" s="6"/>
      <c r="M754" s="6"/>
      <c r="P754" s="6"/>
    </row>
    <row r="755" spans="4:16" x14ac:dyDescent="0.25">
      <c r="D755" s="6"/>
      <c r="E755" s="6"/>
      <c r="F755" s="6"/>
      <c r="G755" s="6"/>
      <c r="H755" s="6"/>
      <c r="I755" s="6"/>
      <c r="J755" s="6"/>
      <c r="K755" s="6"/>
      <c r="L755" s="6"/>
      <c r="M755" s="6"/>
      <c r="P755" s="6"/>
    </row>
    <row r="756" spans="4:16" x14ac:dyDescent="0.25">
      <c r="D756" s="6"/>
      <c r="E756" s="6"/>
      <c r="F756" s="6"/>
      <c r="G756" s="6"/>
      <c r="H756" s="6"/>
      <c r="I756" s="6"/>
      <c r="J756" s="6"/>
      <c r="K756" s="6"/>
      <c r="L756" s="6"/>
      <c r="M756" s="6"/>
      <c r="P756" s="6"/>
    </row>
    <row r="757" spans="4:16" x14ac:dyDescent="0.25">
      <c r="D757" s="6"/>
      <c r="E757" s="6"/>
      <c r="F757" s="6"/>
      <c r="G757" s="6"/>
      <c r="H757" s="6"/>
      <c r="I757" s="6"/>
      <c r="J757" s="6"/>
      <c r="K757" s="6"/>
      <c r="L757" s="6"/>
      <c r="M757" s="6"/>
      <c r="P757" s="6"/>
    </row>
    <row r="758" spans="4:16" x14ac:dyDescent="0.25">
      <c r="D758" s="6"/>
      <c r="E758" s="6"/>
      <c r="F758" s="6"/>
      <c r="G758" s="6"/>
      <c r="H758" s="6"/>
      <c r="I758" s="6"/>
      <c r="J758" s="6"/>
      <c r="K758" s="6"/>
      <c r="L758" s="6"/>
      <c r="M758" s="6"/>
      <c r="P758" s="6"/>
    </row>
    <row r="759" spans="4:16" x14ac:dyDescent="0.25">
      <c r="D759" s="6"/>
      <c r="E759" s="6"/>
      <c r="F759" s="6"/>
      <c r="G759" s="6"/>
      <c r="H759" s="6"/>
      <c r="I759" s="6"/>
      <c r="J759" s="6"/>
      <c r="K759" s="6"/>
      <c r="L759" s="6"/>
      <c r="M759" s="6"/>
      <c r="P759" s="6"/>
    </row>
    <row r="760" spans="4:16" x14ac:dyDescent="0.25">
      <c r="D760" s="6"/>
      <c r="E760" s="6"/>
      <c r="F760" s="6"/>
      <c r="G760" s="6"/>
      <c r="H760" s="6"/>
      <c r="I760" s="6"/>
      <c r="J760" s="6"/>
      <c r="K760" s="6"/>
      <c r="L760" s="6"/>
      <c r="M760" s="6"/>
      <c r="P760" s="6"/>
    </row>
    <row r="761" spans="4:16" x14ac:dyDescent="0.25">
      <c r="D761" s="6"/>
      <c r="E761" s="6"/>
      <c r="F761" s="6"/>
      <c r="G761" s="6"/>
      <c r="H761" s="6"/>
      <c r="I761" s="6"/>
      <c r="J761" s="6"/>
      <c r="K761" s="6"/>
      <c r="L761" s="6"/>
      <c r="M761" s="6"/>
      <c r="P761" s="6"/>
    </row>
    <row r="762" spans="4:16" x14ac:dyDescent="0.25">
      <c r="D762" s="6"/>
      <c r="E762" s="6"/>
      <c r="F762" s="6"/>
      <c r="G762" s="6"/>
      <c r="H762" s="6"/>
      <c r="I762" s="6"/>
      <c r="J762" s="6"/>
      <c r="K762" s="6"/>
      <c r="L762" s="6"/>
      <c r="M762" s="6"/>
      <c r="P762" s="6"/>
    </row>
    <row r="763" spans="4:16" x14ac:dyDescent="0.25">
      <c r="D763" s="6"/>
      <c r="E763" s="6"/>
      <c r="F763" s="6"/>
      <c r="G763" s="6"/>
      <c r="H763" s="6"/>
      <c r="I763" s="6"/>
      <c r="J763" s="6"/>
      <c r="K763" s="6"/>
      <c r="L763" s="6"/>
      <c r="M763" s="6"/>
      <c r="P763" s="6"/>
    </row>
    <row r="764" spans="4:16" x14ac:dyDescent="0.25">
      <c r="D764" s="6"/>
      <c r="E764" s="6"/>
      <c r="F764" s="6"/>
      <c r="G764" s="6"/>
      <c r="H764" s="6"/>
      <c r="I764" s="6"/>
      <c r="J764" s="6"/>
      <c r="K764" s="6"/>
      <c r="L764" s="6"/>
      <c r="M764" s="6"/>
      <c r="P764" s="6"/>
    </row>
    <row r="765" spans="4:16" x14ac:dyDescent="0.25">
      <c r="D765" s="6"/>
      <c r="E765" s="6"/>
      <c r="F765" s="6"/>
      <c r="G765" s="6"/>
      <c r="H765" s="6"/>
      <c r="I765" s="6"/>
      <c r="J765" s="6"/>
      <c r="K765" s="6"/>
      <c r="L765" s="6"/>
      <c r="M765" s="6"/>
      <c r="P765" s="6"/>
    </row>
    <row r="766" spans="4:16" x14ac:dyDescent="0.25">
      <c r="D766" s="6"/>
      <c r="E766" s="6"/>
      <c r="F766" s="6"/>
      <c r="G766" s="6"/>
      <c r="H766" s="6"/>
      <c r="I766" s="6"/>
      <c r="J766" s="6"/>
      <c r="K766" s="6"/>
      <c r="L766" s="6"/>
      <c r="M766" s="6"/>
      <c r="P766" s="6"/>
    </row>
    <row r="767" spans="4:16" x14ac:dyDescent="0.25">
      <c r="D767" s="6"/>
      <c r="E767" s="6"/>
      <c r="F767" s="6"/>
      <c r="G767" s="6"/>
      <c r="H767" s="6"/>
      <c r="I767" s="6"/>
      <c r="J767" s="6"/>
      <c r="K767" s="6"/>
      <c r="L767" s="6"/>
      <c r="M767" s="6"/>
      <c r="P767" s="6"/>
    </row>
    <row r="768" spans="4:16" x14ac:dyDescent="0.25">
      <c r="D768" s="6"/>
      <c r="E768" s="6"/>
      <c r="F768" s="6"/>
      <c r="G768" s="6"/>
      <c r="H768" s="6"/>
      <c r="I768" s="6"/>
      <c r="J768" s="6"/>
      <c r="K768" s="6"/>
      <c r="L768" s="6"/>
      <c r="M768" s="6"/>
      <c r="P768" s="6"/>
    </row>
    <row r="769" spans="4:16" x14ac:dyDescent="0.25">
      <c r="D769" s="6"/>
      <c r="E769" s="6"/>
      <c r="F769" s="6"/>
      <c r="G769" s="6"/>
      <c r="H769" s="6"/>
      <c r="I769" s="6"/>
      <c r="J769" s="6"/>
      <c r="K769" s="6"/>
      <c r="L769" s="6"/>
      <c r="M769" s="6"/>
      <c r="P769" s="6"/>
    </row>
    <row r="770" spans="4:16" x14ac:dyDescent="0.25">
      <c r="D770" s="6"/>
      <c r="E770" s="6"/>
      <c r="F770" s="6"/>
      <c r="G770" s="6"/>
      <c r="H770" s="6"/>
      <c r="I770" s="6"/>
      <c r="J770" s="6"/>
      <c r="K770" s="6"/>
      <c r="L770" s="6"/>
      <c r="M770" s="6"/>
      <c r="P770" s="6"/>
    </row>
    <row r="771" spans="4:16" x14ac:dyDescent="0.25">
      <c r="D771" s="6"/>
      <c r="E771" s="6"/>
      <c r="F771" s="6"/>
      <c r="G771" s="6"/>
      <c r="H771" s="6"/>
      <c r="I771" s="6"/>
      <c r="J771" s="6"/>
      <c r="K771" s="6"/>
      <c r="L771" s="6"/>
      <c r="M771" s="6"/>
      <c r="P771" s="6"/>
    </row>
    <row r="772" spans="4:16" x14ac:dyDescent="0.25">
      <c r="D772" s="6"/>
      <c r="E772" s="6"/>
      <c r="F772" s="6"/>
      <c r="G772" s="6"/>
      <c r="H772" s="6"/>
      <c r="I772" s="6"/>
      <c r="J772" s="6"/>
      <c r="K772" s="6"/>
      <c r="L772" s="6"/>
      <c r="M772" s="6"/>
      <c r="P772" s="6"/>
    </row>
    <row r="773" spans="4:16" x14ac:dyDescent="0.25">
      <c r="D773" s="6"/>
      <c r="E773" s="6"/>
      <c r="F773" s="6"/>
      <c r="G773" s="6"/>
      <c r="H773" s="6"/>
      <c r="I773" s="6"/>
      <c r="J773" s="6"/>
      <c r="K773" s="6"/>
      <c r="L773" s="6"/>
      <c r="M773" s="6"/>
      <c r="P773" s="6"/>
    </row>
    <row r="774" spans="4:16" x14ac:dyDescent="0.25">
      <c r="D774" s="6"/>
      <c r="E774" s="6"/>
      <c r="F774" s="6"/>
      <c r="G774" s="6"/>
      <c r="H774" s="6"/>
      <c r="I774" s="6"/>
      <c r="J774" s="6"/>
      <c r="K774" s="6"/>
      <c r="L774" s="6"/>
      <c r="M774" s="6"/>
      <c r="P774" s="6"/>
    </row>
    <row r="775" spans="4:16" x14ac:dyDescent="0.25">
      <c r="D775" s="6"/>
      <c r="E775" s="6"/>
      <c r="F775" s="6"/>
      <c r="G775" s="6"/>
      <c r="H775" s="6"/>
      <c r="I775" s="6"/>
      <c r="J775" s="6"/>
      <c r="K775" s="6"/>
      <c r="L775" s="6"/>
      <c r="M775" s="6"/>
      <c r="P775" s="6"/>
    </row>
    <row r="776" spans="4:16" x14ac:dyDescent="0.25">
      <c r="D776" s="6"/>
      <c r="E776" s="6"/>
      <c r="F776" s="6"/>
      <c r="G776" s="6"/>
      <c r="H776" s="6"/>
      <c r="I776" s="6"/>
      <c r="J776" s="6"/>
      <c r="K776" s="6"/>
      <c r="L776" s="6"/>
      <c r="M776" s="6"/>
      <c r="P776" s="6"/>
    </row>
    <row r="777" spans="4:16" x14ac:dyDescent="0.25">
      <c r="D777" s="6"/>
      <c r="E777" s="6"/>
      <c r="F777" s="6"/>
      <c r="G777" s="6"/>
      <c r="H777" s="6"/>
      <c r="I777" s="6"/>
      <c r="J777" s="6"/>
      <c r="K777" s="6"/>
      <c r="L777" s="6"/>
      <c r="M777" s="6"/>
      <c r="P777" s="6"/>
    </row>
    <row r="778" spans="4:16" x14ac:dyDescent="0.25">
      <c r="D778" s="6"/>
      <c r="E778" s="6"/>
      <c r="F778" s="6"/>
      <c r="G778" s="6"/>
      <c r="H778" s="6"/>
      <c r="I778" s="6"/>
      <c r="J778" s="6"/>
      <c r="K778" s="6"/>
      <c r="L778" s="6"/>
      <c r="M778" s="6"/>
      <c r="P778" s="6"/>
    </row>
    <row r="779" spans="4:16" x14ac:dyDescent="0.25">
      <c r="D779" s="6"/>
      <c r="E779" s="6"/>
      <c r="F779" s="6"/>
      <c r="G779" s="6"/>
      <c r="H779" s="6"/>
      <c r="I779" s="6"/>
      <c r="J779" s="6"/>
      <c r="K779" s="6"/>
      <c r="L779" s="6"/>
      <c r="M779" s="6"/>
      <c r="P779" s="6"/>
    </row>
    <row r="780" spans="4:16" x14ac:dyDescent="0.25">
      <c r="D780" s="6"/>
      <c r="E780" s="6"/>
      <c r="F780" s="6"/>
      <c r="G780" s="6"/>
      <c r="H780" s="6"/>
      <c r="I780" s="6"/>
      <c r="J780" s="6"/>
      <c r="K780" s="6"/>
      <c r="L780" s="6"/>
      <c r="M780" s="6"/>
      <c r="P780" s="6"/>
    </row>
    <row r="781" spans="4:16" x14ac:dyDescent="0.25">
      <c r="D781" s="6"/>
      <c r="E781" s="6"/>
      <c r="F781" s="6"/>
      <c r="G781" s="6"/>
      <c r="H781" s="6"/>
      <c r="I781" s="6"/>
      <c r="J781" s="6"/>
      <c r="K781" s="6"/>
      <c r="L781" s="6"/>
      <c r="M781" s="6"/>
      <c r="P781" s="6"/>
    </row>
    <row r="782" spans="4:16" x14ac:dyDescent="0.25">
      <c r="D782" s="6"/>
      <c r="E782" s="6"/>
      <c r="F782" s="6"/>
      <c r="G782" s="6"/>
      <c r="H782" s="6"/>
      <c r="I782" s="6"/>
      <c r="J782" s="6"/>
      <c r="K782" s="6"/>
      <c r="L782" s="6"/>
      <c r="M782" s="6"/>
      <c r="P782" s="6"/>
    </row>
    <row r="783" spans="4:16" x14ac:dyDescent="0.25">
      <c r="D783" s="6"/>
      <c r="E783" s="6"/>
      <c r="F783" s="6"/>
      <c r="G783" s="6"/>
      <c r="H783" s="6"/>
      <c r="I783" s="6"/>
      <c r="J783" s="6"/>
      <c r="K783" s="6"/>
      <c r="L783" s="6"/>
      <c r="M783" s="6"/>
      <c r="P783" s="6"/>
    </row>
    <row r="784" spans="4:16" x14ac:dyDescent="0.25">
      <c r="D784" s="6"/>
      <c r="E784" s="6"/>
      <c r="F784" s="6"/>
      <c r="G784" s="6"/>
      <c r="H784" s="6"/>
      <c r="I784" s="6"/>
      <c r="J784" s="6"/>
      <c r="K784" s="6"/>
      <c r="L784" s="6"/>
      <c r="M784" s="6"/>
      <c r="P784" s="6"/>
    </row>
    <row r="785" spans="4:16" x14ac:dyDescent="0.25">
      <c r="D785" s="6"/>
      <c r="E785" s="6"/>
      <c r="F785" s="6"/>
      <c r="G785" s="6"/>
      <c r="H785" s="6"/>
      <c r="I785" s="6"/>
      <c r="J785" s="6"/>
      <c r="K785" s="6"/>
      <c r="L785" s="6"/>
      <c r="M785" s="6"/>
      <c r="P785" s="6"/>
    </row>
    <row r="786" spans="4:16" x14ac:dyDescent="0.25">
      <c r="D786" s="6"/>
      <c r="E786" s="6"/>
      <c r="F786" s="6"/>
      <c r="G786" s="6"/>
      <c r="H786" s="6"/>
      <c r="I786" s="6"/>
      <c r="J786" s="6"/>
      <c r="K786" s="6"/>
      <c r="L786" s="6"/>
      <c r="M786" s="6"/>
      <c r="P786" s="6"/>
    </row>
    <row r="787" spans="4:16" x14ac:dyDescent="0.25">
      <c r="D787" s="6"/>
      <c r="E787" s="6"/>
      <c r="F787" s="6"/>
      <c r="G787" s="6"/>
      <c r="H787" s="6"/>
      <c r="I787" s="6"/>
      <c r="J787" s="6"/>
      <c r="K787" s="6"/>
      <c r="L787" s="6"/>
      <c r="M787" s="6"/>
      <c r="P787" s="6"/>
    </row>
    <row r="788" spans="4:16" x14ac:dyDescent="0.25">
      <c r="D788" s="6"/>
      <c r="E788" s="6"/>
      <c r="F788" s="6"/>
      <c r="G788" s="6"/>
      <c r="H788" s="6"/>
      <c r="I788" s="6"/>
      <c r="J788" s="6"/>
      <c r="K788" s="6"/>
      <c r="L788" s="6"/>
      <c r="M788" s="6"/>
      <c r="P788" s="6"/>
    </row>
    <row r="789" spans="4:16" x14ac:dyDescent="0.25">
      <c r="D789" s="6"/>
      <c r="E789" s="6"/>
      <c r="F789" s="6"/>
      <c r="G789" s="6"/>
      <c r="H789" s="6"/>
      <c r="I789" s="6"/>
      <c r="J789" s="6"/>
      <c r="K789" s="6"/>
      <c r="L789" s="6"/>
      <c r="M789" s="6"/>
      <c r="P789" s="6"/>
    </row>
    <row r="790" spans="4:16" x14ac:dyDescent="0.25">
      <c r="D790" s="6"/>
      <c r="E790" s="6"/>
      <c r="F790" s="6"/>
      <c r="G790" s="6"/>
      <c r="H790" s="6"/>
      <c r="I790" s="6"/>
      <c r="J790" s="6"/>
      <c r="K790" s="6"/>
      <c r="L790" s="6"/>
      <c r="M790" s="6"/>
      <c r="P790" s="6"/>
    </row>
    <row r="791" spans="4:16" x14ac:dyDescent="0.25">
      <c r="D791" s="6"/>
      <c r="E791" s="6"/>
      <c r="F791" s="6"/>
      <c r="G791" s="6"/>
      <c r="H791" s="6"/>
      <c r="I791" s="6"/>
      <c r="J791" s="6"/>
      <c r="K791" s="6"/>
      <c r="L791" s="6"/>
      <c r="M791" s="6"/>
      <c r="P791" s="6"/>
    </row>
    <row r="792" spans="4:16" x14ac:dyDescent="0.25">
      <c r="D792" s="6"/>
      <c r="E792" s="6"/>
      <c r="F792" s="6"/>
      <c r="G792" s="6"/>
      <c r="H792" s="6"/>
      <c r="I792" s="6"/>
      <c r="J792" s="6"/>
      <c r="K792" s="6"/>
      <c r="L792" s="6"/>
      <c r="M792" s="6"/>
      <c r="P792" s="6"/>
    </row>
    <row r="793" spans="4:16" x14ac:dyDescent="0.25">
      <c r="D793" s="6"/>
      <c r="E793" s="6"/>
      <c r="F793" s="6"/>
      <c r="G793" s="6"/>
      <c r="H793" s="6"/>
      <c r="I793" s="6"/>
      <c r="J793" s="6"/>
      <c r="K793" s="6"/>
      <c r="L793" s="6"/>
      <c r="M793" s="6"/>
      <c r="P793" s="6"/>
    </row>
    <row r="794" spans="4:16" x14ac:dyDescent="0.25">
      <c r="D794" s="6"/>
      <c r="E794" s="6"/>
      <c r="F794" s="6"/>
      <c r="G794" s="6"/>
      <c r="H794" s="6"/>
      <c r="I794" s="6"/>
      <c r="J794" s="6"/>
      <c r="K794" s="6"/>
      <c r="L794" s="6"/>
      <c r="M794" s="6"/>
      <c r="P794" s="6"/>
    </row>
    <row r="795" spans="4:16" x14ac:dyDescent="0.25">
      <c r="D795" s="6"/>
      <c r="E795" s="6"/>
      <c r="F795" s="6"/>
      <c r="G795" s="6"/>
      <c r="H795" s="6"/>
      <c r="I795" s="6"/>
      <c r="J795" s="6"/>
      <c r="K795" s="6"/>
      <c r="L795" s="6"/>
      <c r="M795" s="6"/>
      <c r="P795" s="6"/>
    </row>
    <row r="796" spans="4:16" x14ac:dyDescent="0.25">
      <c r="D796" s="6"/>
      <c r="E796" s="6"/>
      <c r="F796" s="6"/>
      <c r="G796" s="6"/>
      <c r="H796" s="6"/>
      <c r="I796" s="6"/>
      <c r="J796" s="6"/>
      <c r="K796" s="6"/>
      <c r="L796" s="6"/>
      <c r="M796" s="6"/>
      <c r="P796" s="6"/>
    </row>
    <row r="797" spans="4:16" x14ac:dyDescent="0.25">
      <c r="D797" s="6"/>
      <c r="E797" s="6"/>
      <c r="F797" s="6"/>
      <c r="G797" s="6"/>
      <c r="H797" s="6"/>
      <c r="I797" s="6"/>
      <c r="J797" s="6"/>
      <c r="K797" s="6"/>
      <c r="L797" s="6"/>
      <c r="M797" s="6"/>
      <c r="P797" s="6"/>
    </row>
    <row r="798" spans="4:16" x14ac:dyDescent="0.25">
      <c r="D798" s="6"/>
      <c r="E798" s="6"/>
      <c r="F798" s="6"/>
      <c r="G798" s="6"/>
      <c r="H798" s="6"/>
      <c r="I798" s="6"/>
      <c r="J798" s="6"/>
      <c r="K798" s="6"/>
      <c r="L798" s="6"/>
      <c r="M798" s="6"/>
      <c r="P798" s="6"/>
    </row>
    <row r="799" spans="4:16" x14ac:dyDescent="0.25">
      <c r="D799" s="6"/>
      <c r="E799" s="6"/>
      <c r="F799" s="6"/>
      <c r="G799" s="6"/>
      <c r="H799" s="6"/>
      <c r="I799" s="6"/>
      <c r="J799" s="6"/>
      <c r="K799" s="6"/>
      <c r="L799" s="6"/>
      <c r="M799" s="6"/>
      <c r="P799" s="6"/>
    </row>
    <row r="800" spans="4:16" x14ac:dyDescent="0.25">
      <c r="D800" s="6"/>
      <c r="E800" s="6"/>
      <c r="F800" s="6"/>
      <c r="G800" s="6"/>
      <c r="H800" s="6"/>
      <c r="I800" s="6"/>
      <c r="J800" s="6"/>
      <c r="K800" s="6"/>
      <c r="L800" s="6"/>
      <c r="M800" s="6"/>
      <c r="P800" s="6"/>
    </row>
    <row r="801" spans="4:16" x14ac:dyDescent="0.25">
      <c r="D801" s="6"/>
      <c r="E801" s="6"/>
      <c r="F801" s="6"/>
      <c r="G801" s="6"/>
      <c r="H801" s="6"/>
      <c r="I801" s="6"/>
      <c r="J801" s="6"/>
      <c r="K801" s="6"/>
      <c r="L801" s="6"/>
      <c r="M801" s="6"/>
      <c r="P801" s="6"/>
    </row>
    <row r="802" spans="4:16" x14ac:dyDescent="0.25">
      <c r="D802" s="6"/>
      <c r="E802" s="6"/>
      <c r="F802" s="6"/>
      <c r="G802" s="6"/>
      <c r="H802" s="6"/>
      <c r="I802" s="6"/>
      <c r="J802" s="6"/>
      <c r="K802" s="6"/>
      <c r="L802" s="6"/>
      <c r="M802" s="6"/>
      <c r="P802" s="6"/>
    </row>
    <row r="803" spans="4:16" x14ac:dyDescent="0.25">
      <c r="D803" s="6"/>
      <c r="E803" s="6"/>
      <c r="F803" s="6"/>
      <c r="G803" s="6"/>
      <c r="H803" s="6"/>
      <c r="I803" s="6"/>
      <c r="J803" s="6"/>
      <c r="K803" s="6"/>
      <c r="L803" s="6"/>
      <c r="M803" s="6"/>
      <c r="P803" s="6"/>
    </row>
    <row r="804" spans="4:16" x14ac:dyDescent="0.25">
      <c r="D804" s="6"/>
      <c r="E804" s="6"/>
      <c r="F804" s="6"/>
      <c r="G804" s="6"/>
      <c r="H804" s="6"/>
      <c r="I804" s="6"/>
      <c r="J804" s="6"/>
      <c r="K804" s="6"/>
      <c r="L804" s="6"/>
      <c r="M804" s="6"/>
      <c r="P804" s="6"/>
    </row>
    <row r="805" spans="4:16" x14ac:dyDescent="0.25">
      <c r="D805" s="6"/>
      <c r="E805" s="6"/>
      <c r="F805" s="6"/>
      <c r="G805" s="6"/>
      <c r="H805" s="6"/>
      <c r="I805" s="6"/>
      <c r="J805" s="6"/>
      <c r="K805" s="6"/>
      <c r="L805" s="6"/>
      <c r="M805" s="6"/>
      <c r="P805" s="6"/>
    </row>
    <row r="806" spans="4:16" x14ac:dyDescent="0.25">
      <c r="D806" s="6"/>
      <c r="E806" s="6"/>
      <c r="F806" s="6"/>
      <c r="G806" s="6"/>
      <c r="H806" s="6"/>
      <c r="I806" s="6"/>
      <c r="J806" s="6"/>
      <c r="K806" s="6"/>
      <c r="L806" s="6"/>
      <c r="M806" s="6"/>
      <c r="P806" s="6"/>
    </row>
    <row r="807" spans="4:16" x14ac:dyDescent="0.25">
      <c r="D807" s="6"/>
      <c r="E807" s="6"/>
      <c r="F807" s="6"/>
      <c r="G807" s="6"/>
      <c r="H807" s="6"/>
      <c r="I807" s="6"/>
      <c r="J807" s="6"/>
      <c r="K807" s="6"/>
      <c r="L807" s="6"/>
      <c r="M807" s="6"/>
      <c r="P807" s="6"/>
    </row>
    <row r="808" spans="4:16" x14ac:dyDescent="0.25">
      <c r="D808" s="6"/>
      <c r="E808" s="6"/>
      <c r="F808" s="6"/>
      <c r="G808" s="6"/>
      <c r="H808" s="6"/>
      <c r="I808" s="6"/>
      <c r="J808" s="6"/>
      <c r="K808" s="6"/>
      <c r="L808" s="6"/>
      <c r="M808" s="6"/>
      <c r="P808" s="6"/>
    </row>
    <row r="809" spans="4:16" x14ac:dyDescent="0.25">
      <c r="D809" s="6"/>
      <c r="E809" s="6"/>
      <c r="F809" s="6"/>
      <c r="G809" s="6"/>
      <c r="H809" s="6"/>
      <c r="I809" s="6"/>
      <c r="J809" s="6"/>
      <c r="K809" s="6"/>
      <c r="L809" s="6"/>
      <c r="M809" s="6"/>
      <c r="P809" s="6"/>
    </row>
    <row r="810" spans="4:16" x14ac:dyDescent="0.25">
      <c r="D810" s="6"/>
      <c r="E810" s="6"/>
      <c r="F810" s="6"/>
      <c r="G810" s="6"/>
      <c r="H810" s="6"/>
      <c r="I810" s="6"/>
      <c r="J810" s="6"/>
      <c r="K810" s="6"/>
      <c r="L810" s="6"/>
      <c r="M810" s="6"/>
      <c r="P810" s="6"/>
    </row>
    <row r="811" spans="4:16" x14ac:dyDescent="0.25">
      <c r="D811" s="6"/>
      <c r="E811" s="6"/>
      <c r="F811" s="6"/>
      <c r="G811" s="6"/>
      <c r="H811" s="6"/>
      <c r="I811" s="6"/>
      <c r="J811" s="6"/>
      <c r="K811" s="6"/>
      <c r="L811" s="6"/>
      <c r="M811" s="6"/>
      <c r="P811" s="6"/>
    </row>
    <row r="812" spans="4:16" x14ac:dyDescent="0.25">
      <c r="D812" s="6"/>
      <c r="E812" s="6"/>
      <c r="F812" s="6"/>
      <c r="G812" s="6"/>
      <c r="H812" s="6"/>
      <c r="I812" s="6"/>
      <c r="J812" s="6"/>
      <c r="K812" s="6"/>
      <c r="L812" s="6"/>
      <c r="M812" s="6"/>
      <c r="P812" s="6"/>
    </row>
    <row r="813" spans="4:16" x14ac:dyDescent="0.25">
      <c r="D813" s="6"/>
      <c r="E813" s="6"/>
      <c r="F813" s="6"/>
      <c r="G813" s="6"/>
      <c r="H813" s="6"/>
      <c r="I813" s="6"/>
      <c r="J813" s="6"/>
      <c r="K813" s="6"/>
      <c r="L813" s="6"/>
      <c r="M813" s="6"/>
      <c r="P813" s="6"/>
    </row>
    <row r="814" spans="4:16" x14ac:dyDescent="0.25">
      <c r="D814" s="6"/>
      <c r="E814" s="6"/>
      <c r="F814" s="6"/>
      <c r="G814" s="6"/>
      <c r="H814" s="6"/>
      <c r="I814" s="6"/>
      <c r="J814" s="6"/>
      <c r="K814" s="6"/>
      <c r="L814" s="6"/>
      <c r="M814" s="6"/>
      <c r="P814" s="6"/>
    </row>
    <row r="815" spans="4:16" x14ac:dyDescent="0.25">
      <c r="D815" s="6"/>
      <c r="E815" s="6"/>
      <c r="F815" s="6"/>
      <c r="G815" s="6"/>
      <c r="H815" s="6"/>
      <c r="I815" s="6"/>
      <c r="J815" s="6"/>
      <c r="K815" s="6"/>
      <c r="L815" s="6"/>
      <c r="M815" s="6"/>
      <c r="P815" s="6"/>
    </row>
    <row r="816" spans="4:16" x14ac:dyDescent="0.25">
      <c r="D816" s="6"/>
      <c r="E816" s="6"/>
      <c r="F816" s="6"/>
      <c r="G816" s="6"/>
      <c r="H816" s="6"/>
      <c r="I816" s="6"/>
      <c r="J816" s="6"/>
      <c r="K816" s="6"/>
      <c r="L816" s="6"/>
      <c r="M816" s="6"/>
      <c r="P816" s="6"/>
    </row>
    <row r="817" spans="4:16" x14ac:dyDescent="0.25">
      <c r="D817" s="6"/>
      <c r="E817" s="6"/>
      <c r="F817" s="6"/>
      <c r="G817" s="6"/>
      <c r="H817" s="6"/>
      <c r="I817" s="6"/>
      <c r="J817" s="6"/>
      <c r="K817" s="6"/>
      <c r="L817" s="6"/>
      <c r="M817" s="6"/>
      <c r="P817" s="6"/>
    </row>
    <row r="818" spans="4:16" x14ac:dyDescent="0.25">
      <c r="D818" s="6"/>
      <c r="E818" s="6"/>
      <c r="F818" s="6"/>
      <c r="G818" s="6"/>
      <c r="H818" s="6"/>
      <c r="I818" s="6"/>
      <c r="J818" s="6"/>
      <c r="K818" s="6"/>
      <c r="L818" s="6"/>
      <c r="M818" s="6"/>
      <c r="P818" s="6"/>
    </row>
    <row r="819" spans="4:16" x14ac:dyDescent="0.25">
      <c r="D819" s="6"/>
      <c r="E819" s="6"/>
      <c r="F819" s="6"/>
      <c r="G819" s="6"/>
      <c r="H819" s="6"/>
      <c r="I819" s="6"/>
      <c r="J819" s="6"/>
      <c r="K819" s="6"/>
      <c r="L819" s="6"/>
      <c r="M819" s="6"/>
      <c r="P819" s="6"/>
    </row>
    <row r="820" spans="4:16" x14ac:dyDescent="0.25">
      <c r="D820" s="6"/>
      <c r="E820" s="6"/>
      <c r="F820" s="6"/>
      <c r="G820" s="6"/>
      <c r="H820" s="6"/>
      <c r="I820" s="6"/>
      <c r="J820" s="6"/>
      <c r="K820" s="6"/>
      <c r="L820" s="6"/>
      <c r="M820" s="6"/>
      <c r="P820" s="6"/>
    </row>
    <row r="821" spans="4:16" x14ac:dyDescent="0.25">
      <c r="D821" s="6"/>
      <c r="E821" s="6"/>
      <c r="F821" s="6"/>
      <c r="G821" s="6"/>
      <c r="H821" s="6"/>
      <c r="I821" s="6"/>
      <c r="J821" s="6"/>
      <c r="K821" s="6"/>
      <c r="L821" s="6"/>
      <c r="M821" s="6"/>
      <c r="P821" s="6"/>
    </row>
    <row r="822" spans="4:16" x14ac:dyDescent="0.25">
      <c r="D822" s="6"/>
      <c r="E822" s="6"/>
      <c r="F822" s="6"/>
      <c r="G822" s="6"/>
      <c r="H822" s="6"/>
      <c r="I822" s="6"/>
      <c r="J822" s="6"/>
      <c r="K822" s="6"/>
      <c r="L822" s="6"/>
      <c r="M822" s="6"/>
      <c r="P822" s="6"/>
    </row>
    <row r="823" spans="4:16" x14ac:dyDescent="0.25">
      <c r="D823" s="6"/>
      <c r="E823" s="6"/>
      <c r="F823" s="6"/>
      <c r="G823" s="6"/>
      <c r="H823" s="6"/>
      <c r="I823" s="6"/>
      <c r="J823" s="6"/>
      <c r="K823" s="6"/>
      <c r="L823" s="6"/>
      <c r="M823" s="6"/>
      <c r="P823" s="6"/>
    </row>
    <row r="824" spans="4:16" x14ac:dyDescent="0.25">
      <c r="D824" s="6"/>
      <c r="E824" s="6"/>
      <c r="F824" s="6"/>
      <c r="G824" s="6"/>
      <c r="H824" s="6"/>
      <c r="I824" s="6"/>
      <c r="J824" s="6"/>
      <c r="K824" s="6"/>
      <c r="L824" s="6"/>
      <c r="M824" s="6"/>
      <c r="P824" s="6"/>
    </row>
    <row r="825" spans="4:16" x14ac:dyDescent="0.25">
      <c r="D825" s="6"/>
      <c r="E825" s="6"/>
      <c r="F825" s="6"/>
      <c r="G825" s="6"/>
      <c r="H825" s="6"/>
      <c r="I825" s="6"/>
      <c r="J825" s="6"/>
      <c r="K825" s="6"/>
      <c r="L825" s="6"/>
      <c r="M825" s="6"/>
      <c r="P825" s="6"/>
    </row>
    <row r="826" spans="4:16" x14ac:dyDescent="0.25">
      <c r="D826" s="6"/>
      <c r="E826" s="6"/>
      <c r="F826" s="6"/>
      <c r="G826" s="6"/>
      <c r="H826" s="6"/>
      <c r="I826" s="6"/>
      <c r="J826" s="6"/>
      <c r="K826" s="6"/>
      <c r="L826" s="6"/>
      <c r="M826" s="6"/>
      <c r="P826" s="6"/>
    </row>
    <row r="827" spans="4:16" x14ac:dyDescent="0.25">
      <c r="D827" s="6"/>
      <c r="E827" s="6"/>
      <c r="F827" s="6"/>
      <c r="G827" s="6"/>
      <c r="H827" s="6"/>
      <c r="I827" s="6"/>
      <c r="J827" s="6"/>
      <c r="K827" s="6"/>
      <c r="L827" s="6"/>
      <c r="M827" s="6"/>
      <c r="P827" s="6"/>
    </row>
    <row r="828" spans="4:16" x14ac:dyDescent="0.25">
      <c r="D828" s="6"/>
      <c r="E828" s="6"/>
      <c r="F828" s="6"/>
      <c r="G828" s="6"/>
      <c r="H828" s="6"/>
      <c r="I828" s="6"/>
      <c r="J828" s="6"/>
      <c r="K828" s="6"/>
      <c r="L828" s="6"/>
      <c r="M828" s="6"/>
      <c r="P828" s="6"/>
    </row>
    <row r="829" spans="4:16" x14ac:dyDescent="0.25">
      <c r="D829" s="6"/>
      <c r="E829" s="6"/>
      <c r="F829" s="6"/>
      <c r="G829" s="6"/>
      <c r="H829" s="6"/>
      <c r="I829" s="6"/>
      <c r="J829" s="6"/>
      <c r="K829" s="6"/>
      <c r="L829" s="6"/>
      <c r="M829" s="6"/>
      <c r="P829" s="6"/>
    </row>
    <row r="830" spans="4:16" x14ac:dyDescent="0.25">
      <c r="D830" s="6"/>
      <c r="E830" s="6"/>
      <c r="F830" s="6"/>
      <c r="G830" s="6"/>
      <c r="H830" s="6"/>
      <c r="I830" s="6"/>
      <c r="J830" s="6"/>
      <c r="K830" s="6"/>
      <c r="L830" s="6"/>
      <c r="M830" s="6"/>
      <c r="P830" s="6"/>
    </row>
    <row r="831" spans="4:16" x14ac:dyDescent="0.25">
      <c r="D831" s="6"/>
      <c r="E831" s="6"/>
      <c r="F831" s="6"/>
      <c r="G831" s="6"/>
      <c r="H831" s="6"/>
      <c r="I831" s="6"/>
      <c r="J831" s="6"/>
      <c r="K831" s="6"/>
      <c r="L831" s="6"/>
      <c r="M831" s="6"/>
      <c r="P831" s="6"/>
    </row>
    <row r="832" spans="4:16" x14ac:dyDescent="0.25">
      <c r="D832" s="6"/>
      <c r="E832" s="6"/>
      <c r="F832" s="6"/>
      <c r="G832" s="6"/>
      <c r="H832" s="6"/>
      <c r="I832" s="6"/>
      <c r="J832" s="6"/>
      <c r="K832" s="6"/>
      <c r="L832" s="6"/>
      <c r="M832" s="6"/>
      <c r="P832" s="6"/>
    </row>
    <row r="833" spans="4:16" x14ac:dyDescent="0.25">
      <c r="D833" s="6"/>
      <c r="E833" s="6"/>
      <c r="F833" s="6"/>
      <c r="G833" s="6"/>
      <c r="H833" s="6"/>
      <c r="I833" s="6"/>
      <c r="J833" s="6"/>
      <c r="K833" s="6"/>
      <c r="L833" s="6"/>
      <c r="M833" s="6"/>
      <c r="P833" s="6"/>
    </row>
    <row r="834" spans="4:16" x14ac:dyDescent="0.25">
      <c r="D834" s="6"/>
      <c r="E834" s="6"/>
      <c r="F834" s="6"/>
      <c r="G834" s="6"/>
      <c r="H834" s="6"/>
      <c r="I834" s="6"/>
      <c r="J834" s="6"/>
      <c r="K834" s="6"/>
      <c r="L834" s="6"/>
      <c r="M834" s="6"/>
      <c r="P834" s="6"/>
    </row>
    <row r="835" spans="4:16" x14ac:dyDescent="0.25">
      <c r="D835" s="6"/>
      <c r="E835" s="6"/>
      <c r="F835" s="6"/>
      <c r="G835" s="6"/>
      <c r="H835" s="6"/>
      <c r="I835" s="6"/>
      <c r="J835" s="6"/>
      <c r="K835" s="6"/>
      <c r="L835" s="6"/>
      <c r="M835" s="6"/>
      <c r="P835" s="6"/>
    </row>
    <row r="836" spans="4:16" x14ac:dyDescent="0.25">
      <c r="D836" s="6"/>
      <c r="E836" s="6"/>
      <c r="F836" s="6"/>
      <c r="G836" s="6"/>
      <c r="H836" s="6"/>
      <c r="I836" s="6"/>
      <c r="J836" s="6"/>
      <c r="K836" s="6"/>
      <c r="L836" s="6"/>
      <c r="M836" s="6"/>
      <c r="P836" s="6"/>
    </row>
    <row r="837" spans="4:16" x14ac:dyDescent="0.25">
      <c r="D837" s="6"/>
      <c r="E837" s="6"/>
      <c r="F837" s="6"/>
      <c r="G837" s="6"/>
      <c r="H837" s="6"/>
      <c r="I837" s="6"/>
      <c r="J837" s="6"/>
      <c r="K837" s="6"/>
      <c r="L837" s="6"/>
      <c r="M837" s="6"/>
      <c r="P837" s="6"/>
    </row>
    <row r="838" spans="4:16" x14ac:dyDescent="0.25">
      <c r="D838" s="6"/>
      <c r="E838" s="6"/>
      <c r="F838" s="6"/>
      <c r="G838" s="6"/>
      <c r="H838" s="6"/>
      <c r="I838" s="6"/>
      <c r="J838" s="6"/>
      <c r="K838" s="6"/>
      <c r="L838" s="6"/>
      <c r="M838" s="6"/>
      <c r="P838" s="6"/>
    </row>
    <row r="839" spans="4:16" x14ac:dyDescent="0.25">
      <c r="D839" s="6"/>
      <c r="E839" s="6"/>
      <c r="F839" s="6"/>
      <c r="G839" s="6"/>
      <c r="H839" s="6"/>
      <c r="I839" s="6"/>
      <c r="J839" s="6"/>
      <c r="K839" s="6"/>
      <c r="L839" s="6"/>
      <c r="M839" s="6"/>
      <c r="P839" s="6"/>
    </row>
    <row r="840" spans="4:16" x14ac:dyDescent="0.25">
      <c r="D840" s="6"/>
      <c r="E840" s="6"/>
      <c r="F840" s="6"/>
      <c r="G840" s="6"/>
      <c r="H840" s="6"/>
      <c r="I840" s="6"/>
      <c r="J840" s="6"/>
      <c r="K840" s="6"/>
      <c r="L840" s="6"/>
      <c r="M840" s="6"/>
      <c r="P840" s="6"/>
    </row>
    <row r="841" spans="4:16" x14ac:dyDescent="0.25">
      <c r="D841" s="6"/>
      <c r="E841" s="6"/>
      <c r="F841" s="6"/>
      <c r="G841" s="6"/>
      <c r="H841" s="6"/>
      <c r="I841" s="6"/>
      <c r="J841" s="6"/>
      <c r="K841" s="6"/>
      <c r="L841" s="6"/>
      <c r="M841" s="6"/>
      <c r="P841" s="6"/>
    </row>
    <row r="842" spans="4:16" x14ac:dyDescent="0.25">
      <c r="D842" s="6"/>
      <c r="E842" s="6"/>
      <c r="F842" s="6"/>
      <c r="G842" s="6"/>
      <c r="H842" s="6"/>
      <c r="I842" s="6"/>
      <c r="J842" s="6"/>
      <c r="K842" s="6"/>
      <c r="L842" s="6"/>
      <c r="M842" s="6"/>
      <c r="P842" s="6"/>
    </row>
    <row r="843" spans="4:16" x14ac:dyDescent="0.25">
      <c r="D843" s="6"/>
      <c r="E843" s="6"/>
      <c r="F843" s="6"/>
      <c r="G843" s="6"/>
      <c r="H843" s="6"/>
      <c r="I843" s="6"/>
      <c r="J843" s="6"/>
      <c r="K843" s="6"/>
      <c r="L843" s="6"/>
      <c r="M843" s="6"/>
      <c r="P843" s="6"/>
    </row>
    <row r="844" spans="4:16" x14ac:dyDescent="0.25">
      <c r="D844" s="6"/>
      <c r="E844" s="6"/>
      <c r="F844" s="6"/>
      <c r="G844" s="6"/>
      <c r="H844" s="6"/>
      <c r="I844" s="6"/>
      <c r="J844" s="6"/>
      <c r="K844" s="6"/>
      <c r="L844" s="6"/>
      <c r="M844" s="6"/>
      <c r="P844" s="6"/>
    </row>
    <row r="845" spans="4:16" x14ac:dyDescent="0.25">
      <c r="D845" s="6"/>
      <c r="E845" s="6"/>
      <c r="F845" s="6"/>
      <c r="G845" s="6"/>
      <c r="H845" s="6"/>
      <c r="I845" s="6"/>
      <c r="J845" s="6"/>
      <c r="K845" s="6"/>
      <c r="L845" s="6"/>
      <c r="M845" s="6"/>
      <c r="P845" s="6"/>
    </row>
    <row r="846" spans="4:16" x14ac:dyDescent="0.25">
      <c r="D846" s="6"/>
      <c r="E846" s="6"/>
      <c r="F846" s="6"/>
      <c r="G846" s="6"/>
      <c r="H846" s="6"/>
      <c r="I846" s="6"/>
      <c r="J846" s="6"/>
      <c r="K846" s="6"/>
      <c r="L846" s="6"/>
      <c r="M846" s="6"/>
      <c r="P846" s="6"/>
    </row>
    <row r="847" spans="4:16" x14ac:dyDescent="0.25">
      <c r="D847" s="6"/>
      <c r="E847" s="6"/>
      <c r="F847" s="6"/>
      <c r="G847" s="6"/>
      <c r="H847" s="6"/>
      <c r="I847" s="6"/>
      <c r="J847" s="6"/>
      <c r="K847" s="6"/>
      <c r="L847" s="6"/>
      <c r="M847" s="6"/>
      <c r="P847" s="6"/>
    </row>
    <row r="848" spans="4:16" x14ac:dyDescent="0.25">
      <c r="D848" s="6"/>
      <c r="E848" s="6"/>
      <c r="F848" s="6"/>
      <c r="G848" s="6"/>
      <c r="H848" s="6"/>
      <c r="I848" s="6"/>
      <c r="J848" s="6"/>
      <c r="K848" s="6"/>
      <c r="L848" s="6"/>
      <c r="M848" s="6"/>
      <c r="P848" s="6"/>
    </row>
    <row r="849" spans="4:16" x14ac:dyDescent="0.25">
      <c r="D849" s="6"/>
      <c r="E849" s="6"/>
      <c r="F849" s="6"/>
      <c r="G849" s="6"/>
      <c r="H849" s="6"/>
      <c r="I849" s="6"/>
      <c r="J849" s="6"/>
      <c r="K849" s="6"/>
      <c r="L849" s="6"/>
      <c r="M849" s="6"/>
      <c r="P849" s="6"/>
    </row>
    <row r="850" spans="4:16" x14ac:dyDescent="0.25">
      <c r="D850" s="6"/>
      <c r="E850" s="6"/>
      <c r="F850" s="6"/>
      <c r="G850" s="6"/>
      <c r="H850" s="6"/>
      <c r="I850" s="6"/>
      <c r="J850" s="6"/>
      <c r="K850" s="6"/>
      <c r="L850" s="6"/>
      <c r="M850" s="6"/>
      <c r="P850" s="6"/>
    </row>
    <row r="851" spans="4:16" x14ac:dyDescent="0.25">
      <c r="D851" s="6"/>
      <c r="E851" s="6"/>
      <c r="F851" s="6"/>
      <c r="G851" s="6"/>
      <c r="H851" s="6"/>
      <c r="I851" s="6"/>
      <c r="J851" s="6"/>
      <c r="K851" s="6"/>
      <c r="L851" s="6"/>
      <c r="M851" s="6"/>
      <c r="P851" s="6"/>
    </row>
    <row r="852" spans="4:16" x14ac:dyDescent="0.25">
      <c r="D852" s="6"/>
      <c r="E852" s="6"/>
      <c r="F852" s="6"/>
      <c r="G852" s="6"/>
      <c r="H852" s="6"/>
      <c r="I852" s="6"/>
      <c r="J852" s="6"/>
      <c r="K852" s="6"/>
      <c r="L852" s="6"/>
      <c r="M852" s="6"/>
      <c r="P852" s="6"/>
    </row>
    <row r="853" spans="4:16" x14ac:dyDescent="0.25">
      <c r="D853" s="6"/>
      <c r="E853" s="6"/>
      <c r="F853" s="6"/>
      <c r="G853" s="6"/>
      <c r="H853" s="6"/>
      <c r="I853" s="6"/>
      <c r="J853" s="6"/>
      <c r="K853" s="6"/>
      <c r="L853" s="6"/>
      <c r="M853" s="6"/>
      <c r="P853" s="6"/>
    </row>
    <row r="854" spans="4:16" x14ac:dyDescent="0.25">
      <c r="D854" s="6"/>
      <c r="E854" s="6"/>
      <c r="F854" s="6"/>
      <c r="G854" s="6"/>
      <c r="H854" s="6"/>
      <c r="I854" s="6"/>
      <c r="J854" s="6"/>
      <c r="K854" s="6"/>
      <c r="L854" s="6"/>
      <c r="M854" s="6"/>
      <c r="P854" s="6"/>
    </row>
    <row r="855" spans="4:16" x14ac:dyDescent="0.25">
      <c r="D855" s="6"/>
      <c r="E855" s="6"/>
      <c r="F855" s="6"/>
      <c r="G855" s="6"/>
      <c r="H855" s="6"/>
      <c r="I855" s="6"/>
      <c r="J855" s="6"/>
      <c r="K855" s="6"/>
      <c r="L855" s="6"/>
      <c r="M855" s="6"/>
      <c r="P855" s="6"/>
    </row>
    <row r="856" spans="4:16" x14ac:dyDescent="0.25">
      <c r="D856" s="6"/>
      <c r="E856" s="6"/>
      <c r="F856" s="6"/>
      <c r="G856" s="6"/>
      <c r="H856" s="6"/>
      <c r="I856" s="6"/>
      <c r="J856" s="6"/>
      <c r="K856" s="6"/>
      <c r="L856" s="6"/>
      <c r="M856" s="6"/>
      <c r="P856" s="6"/>
    </row>
    <row r="857" spans="4:16" x14ac:dyDescent="0.25">
      <c r="D857" s="6"/>
      <c r="E857" s="6"/>
      <c r="F857" s="6"/>
      <c r="G857" s="6"/>
      <c r="H857" s="6"/>
      <c r="I857" s="6"/>
      <c r="J857" s="6"/>
      <c r="K857" s="6"/>
      <c r="L857" s="6"/>
      <c r="M857" s="6"/>
      <c r="P857" s="6"/>
    </row>
    <row r="858" spans="4:16" x14ac:dyDescent="0.25">
      <c r="D858" s="6"/>
      <c r="E858" s="6"/>
      <c r="F858" s="6"/>
      <c r="G858" s="6"/>
      <c r="H858" s="6"/>
      <c r="I858" s="6"/>
      <c r="J858" s="6"/>
      <c r="K858" s="6"/>
      <c r="L858" s="6"/>
      <c r="M858" s="6"/>
      <c r="P858" s="6"/>
    </row>
    <row r="859" spans="4:16" x14ac:dyDescent="0.25">
      <c r="D859" s="6"/>
      <c r="E859" s="6"/>
      <c r="F859" s="6"/>
      <c r="G859" s="6"/>
      <c r="H859" s="6"/>
      <c r="I859" s="6"/>
      <c r="J859" s="6"/>
      <c r="K859" s="6"/>
      <c r="L859" s="6"/>
      <c r="M859" s="6"/>
      <c r="P859" s="6"/>
    </row>
    <row r="860" spans="4:16" x14ac:dyDescent="0.25">
      <c r="D860" s="6"/>
      <c r="E860" s="6"/>
      <c r="F860" s="6"/>
      <c r="G860" s="6"/>
      <c r="H860" s="6"/>
      <c r="I860" s="6"/>
      <c r="J860" s="6"/>
      <c r="K860" s="6"/>
      <c r="L860" s="6"/>
      <c r="M860" s="6"/>
      <c r="P860" s="6"/>
    </row>
    <row r="861" spans="4:16" x14ac:dyDescent="0.25">
      <c r="D861" s="6"/>
      <c r="E861" s="6"/>
      <c r="F861" s="6"/>
      <c r="G861" s="6"/>
      <c r="H861" s="6"/>
      <c r="I861" s="6"/>
      <c r="J861" s="6"/>
      <c r="K861" s="6"/>
      <c r="L861" s="6"/>
      <c r="M861" s="6"/>
      <c r="P861" s="6"/>
    </row>
    <row r="862" spans="4:16" x14ac:dyDescent="0.25">
      <c r="D862" s="6"/>
      <c r="E862" s="6"/>
      <c r="F862" s="6"/>
      <c r="G862" s="6"/>
      <c r="H862" s="6"/>
      <c r="I862" s="6"/>
      <c r="J862" s="6"/>
      <c r="K862" s="6"/>
      <c r="L862" s="6"/>
      <c r="M862" s="6"/>
      <c r="P862" s="6"/>
    </row>
    <row r="863" spans="4:16" x14ac:dyDescent="0.25">
      <c r="D863" s="6"/>
      <c r="E863" s="6"/>
      <c r="F863" s="6"/>
      <c r="G863" s="6"/>
      <c r="H863" s="6"/>
      <c r="I863" s="6"/>
      <c r="J863" s="6"/>
      <c r="K863" s="6"/>
      <c r="L863" s="6"/>
      <c r="M863" s="6"/>
      <c r="P863" s="6"/>
    </row>
    <row r="864" spans="4:16" x14ac:dyDescent="0.25">
      <c r="D864" s="6"/>
      <c r="E864" s="6"/>
      <c r="F864" s="6"/>
      <c r="G864" s="6"/>
      <c r="H864" s="6"/>
      <c r="I864" s="6"/>
      <c r="J864" s="6"/>
      <c r="K864" s="6"/>
      <c r="L864" s="6"/>
      <c r="M864" s="6"/>
      <c r="P864" s="6"/>
    </row>
    <row r="865" spans="4:16" x14ac:dyDescent="0.25">
      <c r="D865" s="6"/>
      <c r="E865" s="6"/>
      <c r="F865" s="6"/>
      <c r="G865" s="6"/>
      <c r="H865" s="6"/>
      <c r="I865" s="6"/>
      <c r="J865" s="6"/>
      <c r="K865" s="6"/>
      <c r="L865" s="6"/>
      <c r="M865" s="6"/>
      <c r="P865" s="6"/>
    </row>
    <row r="866" spans="4:16" x14ac:dyDescent="0.25">
      <c r="D866" s="6"/>
      <c r="E866" s="6"/>
      <c r="F866" s="6"/>
      <c r="G866" s="6"/>
      <c r="H866" s="6"/>
      <c r="I866" s="6"/>
      <c r="J866" s="6"/>
      <c r="K866" s="6"/>
      <c r="L866" s="6"/>
      <c r="M866" s="6"/>
      <c r="P866" s="6"/>
    </row>
    <row r="867" spans="4:16" x14ac:dyDescent="0.25">
      <c r="D867" s="6"/>
      <c r="E867" s="6"/>
      <c r="F867" s="6"/>
      <c r="G867" s="6"/>
      <c r="H867" s="6"/>
      <c r="I867" s="6"/>
      <c r="J867" s="6"/>
      <c r="K867" s="6"/>
      <c r="L867" s="6"/>
      <c r="M867" s="6"/>
      <c r="P867" s="6"/>
    </row>
    <row r="868" spans="4:16" x14ac:dyDescent="0.25">
      <c r="D868" s="6"/>
      <c r="E868" s="6"/>
      <c r="F868" s="6"/>
      <c r="G868" s="6"/>
      <c r="H868" s="6"/>
      <c r="I868" s="6"/>
      <c r="J868" s="6"/>
      <c r="K868" s="6"/>
      <c r="L868" s="6"/>
      <c r="M868" s="6"/>
      <c r="P868" s="6"/>
    </row>
    <row r="869" spans="4:16" x14ac:dyDescent="0.25">
      <c r="D869" s="6"/>
      <c r="E869" s="6"/>
      <c r="F869" s="6"/>
      <c r="G869" s="6"/>
      <c r="H869" s="6"/>
      <c r="I869" s="6"/>
      <c r="J869" s="6"/>
      <c r="K869" s="6"/>
      <c r="L869" s="6"/>
      <c r="M869" s="6"/>
      <c r="P869" s="6"/>
    </row>
    <row r="870" spans="4:16" x14ac:dyDescent="0.25">
      <c r="D870" s="6"/>
      <c r="E870" s="6"/>
      <c r="F870" s="6"/>
      <c r="G870" s="6"/>
      <c r="H870" s="6"/>
      <c r="I870" s="6"/>
      <c r="J870" s="6"/>
      <c r="K870" s="6"/>
      <c r="L870" s="6"/>
      <c r="M870" s="6"/>
      <c r="P870" s="6"/>
    </row>
    <row r="871" spans="4:16" x14ac:dyDescent="0.25">
      <c r="D871" s="6"/>
      <c r="E871" s="6"/>
      <c r="F871" s="6"/>
      <c r="G871" s="6"/>
      <c r="H871" s="6"/>
      <c r="I871" s="6"/>
      <c r="J871" s="6"/>
      <c r="K871" s="6"/>
      <c r="L871" s="6"/>
      <c r="M871" s="6"/>
      <c r="P871" s="6"/>
    </row>
    <row r="872" spans="4:16" x14ac:dyDescent="0.25">
      <c r="D872" s="6"/>
      <c r="E872" s="6"/>
      <c r="F872" s="6"/>
      <c r="G872" s="6"/>
      <c r="H872" s="6"/>
      <c r="I872" s="6"/>
      <c r="J872" s="6"/>
      <c r="K872" s="6"/>
      <c r="L872" s="6"/>
      <c r="M872" s="6"/>
      <c r="P872" s="6"/>
    </row>
    <row r="873" spans="4:16" x14ac:dyDescent="0.25">
      <c r="D873" s="6"/>
      <c r="E873" s="6"/>
      <c r="F873" s="6"/>
      <c r="G873" s="6"/>
      <c r="H873" s="6"/>
      <c r="I873" s="6"/>
      <c r="J873" s="6"/>
      <c r="K873" s="6"/>
      <c r="L873" s="6"/>
      <c r="M873" s="6"/>
      <c r="P873" s="6"/>
    </row>
    <row r="874" spans="4:16" x14ac:dyDescent="0.25">
      <c r="D874" s="6"/>
      <c r="E874" s="6"/>
      <c r="F874" s="6"/>
      <c r="G874" s="6"/>
      <c r="H874" s="6"/>
      <c r="I874" s="6"/>
      <c r="J874" s="6"/>
      <c r="K874" s="6"/>
      <c r="L874" s="6"/>
      <c r="M874" s="6"/>
      <c r="P874" s="6"/>
    </row>
    <row r="875" spans="4:16" x14ac:dyDescent="0.25">
      <c r="D875" s="6"/>
      <c r="E875" s="6"/>
      <c r="F875" s="6"/>
      <c r="G875" s="6"/>
      <c r="H875" s="6"/>
      <c r="I875" s="6"/>
      <c r="J875" s="6"/>
      <c r="K875" s="6"/>
      <c r="L875" s="6"/>
      <c r="M875" s="6"/>
      <c r="P875" s="6"/>
    </row>
    <row r="876" spans="4:16" x14ac:dyDescent="0.25">
      <c r="D876" s="6"/>
      <c r="E876" s="6"/>
      <c r="F876" s="6"/>
      <c r="G876" s="6"/>
      <c r="H876" s="6"/>
      <c r="I876" s="6"/>
      <c r="J876" s="6"/>
      <c r="K876" s="6"/>
      <c r="L876" s="6"/>
      <c r="M876" s="6"/>
      <c r="P876" s="6"/>
    </row>
    <row r="877" spans="4:16" x14ac:dyDescent="0.25">
      <c r="D877" s="6"/>
      <c r="E877" s="6"/>
      <c r="F877" s="6"/>
      <c r="G877" s="6"/>
      <c r="H877" s="6"/>
      <c r="I877" s="6"/>
      <c r="J877" s="6"/>
      <c r="K877" s="6"/>
      <c r="L877" s="6"/>
      <c r="M877" s="6"/>
      <c r="P877" s="6"/>
    </row>
    <row r="878" spans="4:16" x14ac:dyDescent="0.25">
      <c r="D878" s="6"/>
      <c r="E878" s="6"/>
      <c r="F878" s="6"/>
      <c r="G878" s="6"/>
      <c r="H878" s="6"/>
      <c r="I878" s="6"/>
      <c r="J878" s="6"/>
      <c r="K878" s="6"/>
      <c r="L878" s="6"/>
      <c r="M878" s="6"/>
      <c r="P878" s="6"/>
    </row>
    <row r="879" spans="4:16" x14ac:dyDescent="0.25">
      <c r="D879" s="6"/>
      <c r="E879" s="6"/>
      <c r="F879" s="6"/>
      <c r="G879" s="6"/>
      <c r="H879" s="6"/>
      <c r="I879" s="6"/>
      <c r="J879" s="6"/>
      <c r="K879" s="6"/>
      <c r="L879" s="6"/>
      <c r="M879" s="6"/>
      <c r="P879" s="6"/>
    </row>
    <row r="880" spans="4:16" x14ac:dyDescent="0.25">
      <c r="D880" s="6"/>
      <c r="E880" s="6"/>
      <c r="F880" s="6"/>
      <c r="G880" s="6"/>
      <c r="H880" s="6"/>
      <c r="I880" s="6"/>
      <c r="J880" s="6"/>
      <c r="K880" s="6"/>
      <c r="L880" s="6"/>
      <c r="M880" s="6"/>
      <c r="P880" s="6"/>
    </row>
    <row r="881" spans="4:16" x14ac:dyDescent="0.25">
      <c r="D881" s="6"/>
      <c r="E881" s="6"/>
      <c r="F881" s="6"/>
      <c r="G881" s="6"/>
      <c r="H881" s="6"/>
      <c r="I881" s="6"/>
      <c r="J881" s="6"/>
      <c r="K881" s="6"/>
      <c r="L881" s="6"/>
      <c r="M881" s="6"/>
      <c r="P881" s="6"/>
    </row>
    <row r="882" spans="4:16" x14ac:dyDescent="0.25">
      <c r="D882" s="6"/>
      <c r="E882" s="6"/>
      <c r="F882" s="6"/>
      <c r="G882" s="6"/>
      <c r="H882" s="6"/>
      <c r="I882" s="6"/>
      <c r="J882" s="6"/>
      <c r="K882" s="6"/>
      <c r="L882" s="6"/>
      <c r="M882" s="6"/>
      <c r="P882" s="6"/>
    </row>
    <row r="883" spans="4:16" x14ac:dyDescent="0.25">
      <c r="D883" s="6"/>
      <c r="E883" s="6"/>
      <c r="F883" s="6"/>
      <c r="G883" s="6"/>
      <c r="H883" s="6"/>
      <c r="I883" s="6"/>
      <c r="J883" s="6"/>
      <c r="K883" s="6"/>
      <c r="L883" s="6"/>
      <c r="M883" s="6"/>
      <c r="P883" s="6"/>
    </row>
    <row r="884" spans="4:16" x14ac:dyDescent="0.25">
      <c r="D884" s="6"/>
      <c r="E884" s="6"/>
      <c r="F884" s="6"/>
      <c r="G884" s="6"/>
      <c r="H884" s="6"/>
      <c r="I884" s="6"/>
      <c r="J884" s="6"/>
      <c r="K884" s="6"/>
      <c r="L884" s="6"/>
      <c r="M884" s="6"/>
      <c r="P884" s="6"/>
    </row>
    <row r="885" spans="4:16" x14ac:dyDescent="0.25">
      <c r="D885" s="6"/>
      <c r="E885" s="6"/>
      <c r="F885" s="6"/>
      <c r="G885" s="6"/>
      <c r="H885" s="6"/>
      <c r="I885" s="6"/>
      <c r="J885" s="6"/>
      <c r="K885" s="6"/>
      <c r="L885" s="6"/>
      <c r="M885" s="6"/>
      <c r="P885" s="6"/>
    </row>
    <row r="886" spans="4:16" x14ac:dyDescent="0.25">
      <c r="D886" s="6"/>
      <c r="E886" s="6"/>
      <c r="F886" s="6"/>
      <c r="G886" s="6"/>
      <c r="H886" s="6"/>
      <c r="I886" s="6"/>
      <c r="J886" s="6"/>
      <c r="K886" s="6"/>
      <c r="L886" s="6"/>
      <c r="M886" s="6"/>
      <c r="P886" s="6"/>
    </row>
    <row r="887" spans="4:16" x14ac:dyDescent="0.25">
      <c r="D887" s="6"/>
      <c r="E887" s="6"/>
      <c r="F887" s="6"/>
      <c r="G887" s="6"/>
      <c r="H887" s="6"/>
      <c r="I887" s="6"/>
      <c r="J887" s="6"/>
      <c r="K887" s="6"/>
      <c r="L887" s="6"/>
      <c r="M887" s="6"/>
      <c r="P887" s="6"/>
    </row>
    <row r="888" spans="4:16" x14ac:dyDescent="0.25">
      <c r="D888" s="6"/>
      <c r="E888" s="6"/>
      <c r="F888" s="6"/>
      <c r="G888" s="6"/>
      <c r="H888" s="6"/>
      <c r="I888" s="6"/>
      <c r="J888" s="6"/>
      <c r="K888" s="6"/>
      <c r="L888" s="6"/>
      <c r="M888" s="6"/>
      <c r="P888" s="6"/>
    </row>
    <row r="889" spans="4:16" x14ac:dyDescent="0.25">
      <c r="D889" s="6"/>
      <c r="E889" s="6"/>
      <c r="F889" s="6"/>
      <c r="G889" s="6"/>
      <c r="H889" s="6"/>
      <c r="I889" s="6"/>
      <c r="J889" s="6"/>
      <c r="K889" s="6"/>
      <c r="L889" s="6"/>
      <c r="M889" s="6"/>
      <c r="P889" s="6"/>
    </row>
    <row r="890" spans="4:16" x14ac:dyDescent="0.25">
      <c r="D890" s="6"/>
      <c r="E890" s="6"/>
      <c r="F890" s="6"/>
      <c r="G890" s="6"/>
      <c r="H890" s="6"/>
      <c r="I890" s="6"/>
      <c r="J890" s="6"/>
      <c r="K890" s="6"/>
      <c r="L890" s="6"/>
      <c r="M890" s="6"/>
      <c r="P890" s="6"/>
    </row>
    <row r="891" spans="4:16" x14ac:dyDescent="0.25">
      <c r="D891" s="6"/>
      <c r="E891" s="6"/>
      <c r="F891" s="6"/>
      <c r="G891" s="6"/>
      <c r="H891" s="6"/>
      <c r="I891" s="6"/>
      <c r="J891" s="6"/>
      <c r="K891" s="6"/>
      <c r="L891" s="6"/>
      <c r="M891" s="6"/>
      <c r="P891" s="6"/>
    </row>
    <row r="892" spans="4:16" x14ac:dyDescent="0.25">
      <c r="D892" s="6"/>
      <c r="E892" s="6"/>
      <c r="F892" s="6"/>
      <c r="G892" s="6"/>
      <c r="H892" s="6"/>
      <c r="I892" s="6"/>
      <c r="J892" s="6"/>
      <c r="K892" s="6"/>
      <c r="L892" s="6"/>
      <c r="M892" s="6"/>
      <c r="P892" s="6"/>
    </row>
    <row r="893" spans="4:16" x14ac:dyDescent="0.25">
      <c r="D893" s="6"/>
      <c r="E893" s="6"/>
      <c r="F893" s="6"/>
      <c r="G893" s="6"/>
      <c r="H893" s="6"/>
      <c r="I893" s="6"/>
      <c r="J893" s="6"/>
      <c r="K893" s="6"/>
      <c r="L893" s="6"/>
      <c r="M893" s="6"/>
      <c r="P893" s="6"/>
    </row>
    <row r="894" spans="4:16" x14ac:dyDescent="0.25">
      <c r="D894" s="6"/>
      <c r="E894" s="6"/>
      <c r="F894" s="6"/>
      <c r="G894" s="6"/>
      <c r="H894" s="6"/>
      <c r="I894" s="6"/>
      <c r="J894" s="6"/>
      <c r="K894" s="6"/>
      <c r="L894" s="6"/>
      <c r="M894" s="6"/>
      <c r="P894" s="6"/>
    </row>
    <row r="895" spans="4:16" x14ac:dyDescent="0.25">
      <c r="D895" s="6"/>
      <c r="E895" s="6"/>
      <c r="F895" s="6"/>
      <c r="G895" s="6"/>
      <c r="H895" s="6"/>
      <c r="I895" s="6"/>
      <c r="J895" s="6"/>
      <c r="K895" s="6"/>
      <c r="L895" s="6"/>
      <c r="M895" s="6"/>
      <c r="P895" s="6"/>
    </row>
    <row r="896" spans="4:16" x14ac:dyDescent="0.25">
      <c r="D896" s="6"/>
      <c r="E896" s="6"/>
      <c r="F896" s="6"/>
      <c r="G896" s="6"/>
      <c r="H896" s="6"/>
      <c r="I896" s="6"/>
      <c r="J896" s="6"/>
      <c r="K896" s="6"/>
      <c r="L896" s="6"/>
      <c r="M896" s="6"/>
      <c r="P896" s="6"/>
    </row>
    <row r="897" spans="4:16" x14ac:dyDescent="0.25">
      <c r="D897" s="6"/>
      <c r="E897" s="6"/>
      <c r="F897" s="6"/>
      <c r="G897" s="6"/>
      <c r="H897" s="6"/>
      <c r="I897" s="6"/>
      <c r="J897" s="6"/>
      <c r="K897" s="6"/>
      <c r="L897" s="6"/>
      <c r="M897" s="6"/>
      <c r="P897" s="6"/>
    </row>
    <row r="898" spans="4:16" x14ac:dyDescent="0.25">
      <c r="D898" s="6"/>
      <c r="E898" s="6"/>
      <c r="F898" s="6"/>
      <c r="G898" s="6"/>
      <c r="H898" s="6"/>
      <c r="I898" s="6"/>
      <c r="J898" s="6"/>
      <c r="K898" s="6"/>
      <c r="L898" s="6"/>
      <c r="M898" s="6"/>
      <c r="P898" s="6"/>
    </row>
    <row r="899" spans="4:16" x14ac:dyDescent="0.25">
      <c r="D899" s="6"/>
      <c r="E899" s="6"/>
      <c r="F899" s="6"/>
      <c r="G899" s="6"/>
      <c r="H899" s="6"/>
      <c r="I899" s="6"/>
      <c r="J899" s="6"/>
      <c r="K899" s="6"/>
      <c r="L899" s="6"/>
      <c r="M899" s="6"/>
      <c r="P899" s="6"/>
    </row>
    <row r="900" spans="4:16" x14ac:dyDescent="0.25">
      <c r="D900" s="6"/>
      <c r="E900" s="6"/>
      <c r="F900" s="6"/>
      <c r="G900" s="6"/>
      <c r="H900" s="6"/>
      <c r="I900" s="6"/>
      <c r="J900" s="6"/>
      <c r="K900" s="6"/>
      <c r="L900" s="6"/>
      <c r="M900" s="6"/>
      <c r="P900" s="6"/>
    </row>
    <row r="901" spans="4:16" x14ac:dyDescent="0.25">
      <c r="D901" s="6"/>
      <c r="E901" s="6"/>
      <c r="F901" s="6"/>
      <c r="G901" s="6"/>
      <c r="H901" s="6"/>
      <c r="I901" s="6"/>
      <c r="J901" s="6"/>
      <c r="K901" s="6"/>
      <c r="L901" s="6"/>
      <c r="M901" s="6"/>
      <c r="P901" s="6"/>
    </row>
    <row r="902" spans="4:16" x14ac:dyDescent="0.25">
      <c r="D902" s="6"/>
      <c r="E902" s="6"/>
      <c r="F902" s="6"/>
      <c r="G902" s="6"/>
      <c r="H902" s="6"/>
      <c r="I902" s="6"/>
      <c r="J902" s="6"/>
      <c r="K902" s="6"/>
      <c r="L902" s="6"/>
      <c r="M902" s="6"/>
      <c r="P902" s="6"/>
    </row>
    <row r="903" spans="4:16" x14ac:dyDescent="0.25">
      <c r="D903" s="6"/>
      <c r="E903" s="6"/>
      <c r="F903" s="6"/>
      <c r="G903" s="6"/>
      <c r="H903" s="6"/>
      <c r="I903" s="6"/>
      <c r="J903" s="6"/>
      <c r="K903" s="6"/>
      <c r="L903" s="6"/>
      <c r="M903" s="6"/>
      <c r="P903" s="6"/>
    </row>
    <row r="904" spans="4:16" x14ac:dyDescent="0.25">
      <c r="D904" s="6"/>
      <c r="E904" s="6"/>
      <c r="F904" s="6"/>
      <c r="G904" s="6"/>
      <c r="H904" s="6"/>
      <c r="I904" s="6"/>
      <c r="J904" s="6"/>
      <c r="K904" s="6"/>
      <c r="L904" s="6"/>
      <c r="M904" s="6"/>
      <c r="P904" s="6"/>
    </row>
    <row r="905" spans="4:16" x14ac:dyDescent="0.25">
      <c r="D905" s="6"/>
      <c r="E905" s="6"/>
      <c r="F905" s="6"/>
      <c r="G905" s="6"/>
      <c r="H905" s="6"/>
      <c r="I905" s="6"/>
      <c r="J905" s="6"/>
      <c r="K905" s="6"/>
      <c r="L905" s="6"/>
      <c r="M905" s="6"/>
      <c r="P905" s="6"/>
    </row>
    <row r="906" spans="4:16" x14ac:dyDescent="0.25">
      <c r="D906" s="6"/>
      <c r="E906" s="6"/>
      <c r="F906" s="6"/>
      <c r="G906" s="6"/>
      <c r="H906" s="6"/>
      <c r="I906" s="6"/>
      <c r="J906" s="6"/>
      <c r="K906" s="6"/>
      <c r="L906" s="6"/>
      <c r="M906" s="6"/>
      <c r="P906" s="6"/>
    </row>
    <row r="907" spans="4:16" x14ac:dyDescent="0.25">
      <c r="D907" s="6"/>
      <c r="E907" s="6"/>
      <c r="F907" s="6"/>
      <c r="G907" s="6"/>
      <c r="H907" s="6"/>
      <c r="I907" s="6"/>
      <c r="J907" s="6"/>
      <c r="K907" s="6"/>
      <c r="L907" s="6"/>
      <c r="M907" s="6"/>
      <c r="P907" s="6"/>
    </row>
    <row r="908" spans="4:16" x14ac:dyDescent="0.25">
      <c r="D908" s="6"/>
      <c r="E908" s="6"/>
      <c r="F908" s="6"/>
      <c r="G908" s="6"/>
      <c r="H908" s="6"/>
      <c r="I908" s="6"/>
      <c r="J908" s="6"/>
      <c r="K908" s="6"/>
      <c r="L908" s="6"/>
      <c r="M908" s="6"/>
      <c r="P908" s="6"/>
    </row>
    <row r="909" spans="4:16" x14ac:dyDescent="0.25">
      <c r="D909" s="6"/>
      <c r="E909" s="6"/>
      <c r="F909" s="6"/>
      <c r="G909" s="6"/>
      <c r="H909" s="6"/>
      <c r="I909" s="6"/>
      <c r="J909" s="6"/>
      <c r="K909" s="6"/>
      <c r="L909" s="6"/>
      <c r="M909" s="6"/>
      <c r="P909" s="6"/>
    </row>
    <row r="910" spans="4:16" x14ac:dyDescent="0.25">
      <c r="D910" s="6"/>
      <c r="E910" s="6"/>
      <c r="F910" s="6"/>
      <c r="G910" s="6"/>
      <c r="H910" s="6"/>
      <c r="I910" s="6"/>
      <c r="J910" s="6"/>
      <c r="K910" s="6"/>
      <c r="L910" s="6"/>
      <c r="M910" s="6"/>
      <c r="P910" s="6"/>
    </row>
    <row r="911" spans="4:16" x14ac:dyDescent="0.25">
      <c r="D911" s="6"/>
      <c r="E911" s="6"/>
      <c r="F911" s="6"/>
      <c r="G911" s="6"/>
      <c r="H911" s="6"/>
      <c r="I911" s="6"/>
      <c r="J911" s="6"/>
      <c r="K911" s="6"/>
      <c r="L911" s="6"/>
      <c r="M911" s="6"/>
      <c r="P911" s="6"/>
    </row>
    <row r="912" spans="4:16" x14ac:dyDescent="0.25">
      <c r="D912" s="6"/>
      <c r="E912" s="6"/>
      <c r="F912" s="6"/>
      <c r="G912" s="6"/>
      <c r="H912" s="6"/>
      <c r="I912" s="6"/>
      <c r="J912" s="6"/>
      <c r="K912" s="6"/>
      <c r="L912" s="6"/>
      <c r="M912" s="6"/>
      <c r="P912" s="6"/>
    </row>
    <row r="913" spans="4:16" x14ac:dyDescent="0.25">
      <c r="D913" s="6"/>
      <c r="E913" s="6"/>
      <c r="F913" s="6"/>
      <c r="G913" s="6"/>
      <c r="H913" s="6"/>
      <c r="I913" s="6"/>
      <c r="J913" s="6"/>
      <c r="K913" s="6"/>
      <c r="L913" s="6"/>
      <c r="M913" s="6"/>
      <c r="P913" s="6"/>
    </row>
    <row r="914" spans="4:16" x14ac:dyDescent="0.25">
      <c r="D914" s="6"/>
      <c r="E914" s="6"/>
      <c r="F914" s="6"/>
      <c r="G914" s="6"/>
      <c r="H914" s="6"/>
      <c r="I914" s="6"/>
      <c r="J914" s="6"/>
      <c r="K914" s="6"/>
      <c r="L914" s="6"/>
      <c r="M914" s="6"/>
      <c r="P914" s="6"/>
    </row>
    <row r="915" spans="4:16" x14ac:dyDescent="0.25">
      <c r="D915" s="6"/>
      <c r="E915" s="6"/>
      <c r="F915" s="6"/>
      <c r="G915" s="6"/>
      <c r="H915" s="6"/>
      <c r="I915" s="6"/>
      <c r="J915" s="6"/>
      <c r="K915" s="6"/>
      <c r="L915" s="6"/>
      <c r="M915" s="6"/>
      <c r="P915" s="6"/>
    </row>
    <row r="916" spans="4:16" x14ac:dyDescent="0.25">
      <c r="D916" s="6"/>
      <c r="E916" s="6"/>
      <c r="F916" s="6"/>
      <c r="G916" s="6"/>
      <c r="H916" s="6"/>
      <c r="I916" s="6"/>
      <c r="J916" s="6"/>
      <c r="K916" s="6"/>
      <c r="L916" s="6"/>
      <c r="M916" s="6"/>
      <c r="P916" s="6"/>
    </row>
    <row r="917" spans="4:16" x14ac:dyDescent="0.25">
      <c r="D917" s="6"/>
      <c r="E917" s="6"/>
      <c r="F917" s="6"/>
      <c r="G917" s="6"/>
      <c r="H917" s="6"/>
      <c r="I917" s="6"/>
      <c r="J917" s="6"/>
      <c r="K917" s="6"/>
      <c r="L917" s="6"/>
      <c r="M917" s="6"/>
      <c r="P917" s="6"/>
    </row>
    <row r="918" spans="4:16" x14ac:dyDescent="0.25">
      <c r="D918" s="6"/>
      <c r="E918" s="6"/>
      <c r="F918" s="6"/>
      <c r="G918" s="6"/>
      <c r="H918" s="6"/>
      <c r="I918" s="6"/>
      <c r="J918" s="6"/>
      <c r="K918" s="6"/>
      <c r="L918" s="6"/>
      <c r="M918" s="6"/>
      <c r="P918" s="6"/>
    </row>
    <row r="919" spans="4:16" x14ac:dyDescent="0.25">
      <c r="D919" s="6"/>
      <c r="E919" s="6"/>
      <c r="F919" s="6"/>
      <c r="G919" s="6"/>
      <c r="H919" s="6"/>
      <c r="I919" s="6"/>
      <c r="J919" s="6"/>
      <c r="K919" s="6"/>
      <c r="L919" s="6"/>
      <c r="M919" s="6"/>
      <c r="P919" s="6"/>
    </row>
    <row r="920" spans="4:16" x14ac:dyDescent="0.25">
      <c r="D920" s="6"/>
      <c r="E920" s="6"/>
      <c r="F920" s="6"/>
      <c r="G920" s="6"/>
      <c r="H920" s="6"/>
      <c r="I920" s="6"/>
      <c r="J920" s="6"/>
      <c r="K920" s="6"/>
      <c r="L920" s="6"/>
      <c r="M920" s="6"/>
      <c r="P920" s="6"/>
    </row>
    <row r="921" spans="4:16" x14ac:dyDescent="0.25">
      <c r="D921" s="6"/>
      <c r="E921" s="6"/>
      <c r="F921" s="6"/>
      <c r="G921" s="6"/>
      <c r="H921" s="6"/>
      <c r="I921" s="6"/>
      <c r="J921" s="6"/>
      <c r="K921" s="6"/>
      <c r="L921" s="6"/>
      <c r="M921" s="6"/>
      <c r="P921" s="6"/>
    </row>
    <row r="922" spans="4:16" x14ac:dyDescent="0.25">
      <c r="D922" s="6"/>
      <c r="E922" s="6"/>
      <c r="F922" s="6"/>
      <c r="G922" s="6"/>
      <c r="H922" s="6"/>
      <c r="I922" s="6"/>
      <c r="J922" s="6"/>
      <c r="K922" s="6"/>
      <c r="L922" s="6"/>
      <c r="M922" s="6"/>
      <c r="P922" s="6"/>
    </row>
    <row r="923" spans="4:16" x14ac:dyDescent="0.25">
      <c r="D923" s="6"/>
      <c r="E923" s="6"/>
      <c r="F923" s="6"/>
      <c r="G923" s="6"/>
      <c r="H923" s="6"/>
      <c r="I923" s="6"/>
      <c r="J923" s="6"/>
      <c r="K923" s="6"/>
      <c r="L923" s="6"/>
      <c r="M923" s="6"/>
      <c r="P923" s="6"/>
    </row>
    <row r="924" spans="4:16" x14ac:dyDescent="0.25">
      <c r="D924" s="6"/>
      <c r="E924" s="6"/>
      <c r="F924" s="6"/>
      <c r="G924" s="6"/>
      <c r="H924" s="6"/>
      <c r="I924" s="6"/>
      <c r="J924" s="6"/>
      <c r="K924" s="6"/>
      <c r="L924" s="6"/>
      <c r="M924" s="6"/>
      <c r="P924" s="6"/>
    </row>
    <row r="925" spans="4:16" x14ac:dyDescent="0.25">
      <c r="D925" s="6"/>
      <c r="E925" s="6"/>
      <c r="F925" s="6"/>
      <c r="G925" s="6"/>
      <c r="H925" s="6"/>
      <c r="I925" s="6"/>
      <c r="J925" s="6"/>
      <c r="K925" s="6"/>
      <c r="L925" s="6"/>
      <c r="M925" s="6"/>
      <c r="P925" s="6"/>
    </row>
    <row r="926" spans="4:16" x14ac:dyDescent="0.25">
      <c r="D926" s="6"/>
      <c r="E926" s="6"/>
      <c r="F926" s="6"/>
      <c r="G926" s="6"/>
      <c r="H926" s="6"/>
      <c r="I926" s="6"/>
      <c r="J926" s="6"/>
      <c r="K926" s="6"/>
      <c r="L926" s="6"/>
      <c r="M926" s="6"/>
      <c r="P926" s="6"/>
    </row>
    <row r="927" spans="4:16" x14ac:dyDescent="0.25">
      <c r="D927" s="6"/>
      <c r="E927" s="6"/>
      <c r="F927" s="6"/>
      <c r="G927" s="6"/>
      <c r="H927" s="6"/>
      <c r="I927" s="6"/>
      <c r="J927" s="6"/>
      <c r="K927" s="6"/>
      <c r="L927" s="6"/>
      <c r="M927" s="6"/>
      <c r="P927" s="6"/>
    </row>
    <row r="928" spans="4:16" x14ac:dyDescent="0.25">
      <c r="D928" s="6"/>
      <c r="E928" s="6"/>
      <c r="F928" s="6"/>
      <c r="G928" s="6"/>
      <c r="H928" s="6"/>
      <c r="I928" s="6"/>
      <c r="J928" s="6"/>
      <c r="K928" s="6"/>
      <c r="L928" s="6"/>
      <c r="M928" s="6"/>
      <c r="P928" s="6"/>
    </row>
    <row r="929" spans="4:16" x14ac:dyDescent="0.25">
      <c r="D929" s="6"/>
      <c r="E929" s="6"/>
      <c r="F929" s="6"/>
      <c r="G929" s="6"/>
      <c r="H929" s="6"/>
      <c r="I929" s="6"/>
      <c r="J929" s="6"/>
      <c r="K929" s="6"/>
      <c r="L929" s="6"/>
      <c r="M929" s="6"/>
      <c r="P929" s="6"/>
    </row>
    <row r="930" spans="4:16" x14ac:dyDescent="0.25">
      <c r="D930" s="6"/>
      <c r="E930" s="6"/>
      <c r="F930" s="6"/>
      <c r="G930" s="6"/>
      <c r="H930" s="6"/>
      <c r="I930" s="6"/>
      <c r="J930" s="6"/>
      <c r="K930" s="6"/>
      <c r="L930" s="6"/>
      <c r="M930" s="6"/>
      <c r="P930" s="6"/>
    </row>
    <row r="931" spans="4:16" x14ac:dyDescent="0.25">
      <c r="D931" s="6"/>
      <c r="E931" s="6"/>
      <c r="F931" s="6"/>
      <c r="G931" s="6"/>
      <c r="H931" s="6"/>
      <c r="I931" s="6"/>
      <c r="J931" s="6"/>
      <c r="K931" s="6"/>
      <c r="L931" s="6"/>
      <c r="M931" s="6"/>
      <c r="P931" s="6"/>
    </row>
    <row r="932" spans="4:16" x14ac:dyDescent="0.25">
      <c r="D932" s="6"/>
      <c r="E932" s="6"/>
      <c r="F932" s="6"/>
      <c r="G932" s="6"/>
      <c r="H932" s="6"/>
      <c r="I932" s="6"/>
      <c r="J932" s="6"/>
      <c r="K932" s="6"/>
      <c r="L932" s="6"/>
      <c r="M932" s="6"/>
      <c r="P932" s="6"/>
    </row>
    <row r="933" spans="4:16" x14ac:dyDescent="0.25">
      <c r="D933" s="6"/>
      <c r="E933" s="6"/>
      <c r="F933" s="6"/>
      <c r="G933" s="6"/>
      <c r="H933" s="6"/>
      <c r="I933" s="6"/>
      <c r="J933" s="6"/>
      <c r="K933" s="6"/>
      <c r="L933" s="6"/>
      <c r="M933" s="6"/>
      <c r="P933" s="6"/>
    </row>
    <row r="934" spans="4:16" x14ac:dyDescent="0.25">
      <c r="D934" s="6"/>
      <c r="E934" s="6"/>
      <c r="F934" s="6"/>
      <c r="G934" s="6"/>
      <c r="H934" s="6"/>
      <c r="I934" s="6"/>
      <c r="J934" s="6"/>
      <c r="K934" s="6"/>
      <c r="L934" s="6"/>
      <c r="M934" s="6"/>
      <c r="P934" s="6"/>
    </row>
    <row r="935" spans="4:16" x14ac:dyDescent="0.25">
      <c r="D935" s="6"/>
      <c r="E935" s="6"/>
      <c r="F935" s="6"/>
      <c r="G935" s="6"/>
      <c r="H935" s="6"/>
      <c r="I935" s="6"/>
      <c r="J935" s="6"/>
      <c r="K935" s="6"/>
      <c r="L935" s="6"/>
      <c r="M935" s="6"/>
      <c r="P935" s="6"/>
    </row>
    <row r="936" spans="4:16" x14ac:dyDescent="0.25">
      <c r="D936" s="6"/>
      <c r="E936" s="6"/>
      <c r="F936" s="6"/>
      <c r="G936" s="6"/>
      <c r="H936" s="6"/>
      <c r="I936" s="6"/>
      <c r="J936" s="6"/>
      <c r="K936" s="6"/>
      <c r="L936" s="6"/>
      <c r="M936" s="6"/>
      <c r="P936" s="6"/>
    </row>
    <row r="937" spans="4:16" x14ac:dyDescent="0.25">
      <c r="D937" s="6"/>
      <c r="E937" s="6"/>
      <c r="F937" s="6"/>
      <c r="G937" s="6"/>
      <c r="H937" s="6"/>
      <c r="I937" s="6"/>
      <c r="J937" s="6"/>
      <c r="K937" s="6"/>
      <c r="L937" s="6"/>
      <c r="M937" s="6"/>
      <c r="P937" s="6"/>
    </row>
    <row r="938" spans="4:16" x14ac:dyDescent="0.25">
      <c r="D938" s="6"/>
      <c r="E938" s="6"/>
      <c r="F938" s="6"/>
      <c r="G938" s="6"/>
      <c r="H938" s="6"/>
      <c r="I938" s="6"/>
      <c r="J938" s="6"/>
      <c r="K938" s="6"/>
      <c r="L938" s="6"/>
      <c r="M938" s="6"/>
      <c r="P938" s="6"/>
    </row>
    <row r="939" spans="4:16" x14ac:dyDescent="0.25">
      <c r="D939" s="6"/>
      <c r="E939" s="6"/>
      <c r="F939" s="6"/>
      <c r="G939" s="6"/>
      <c r="H939" s="6"/>
      <c r="I939" s="6"/>
      <c r="J939" s="6"/>
      <c r="K939" s="6"/>
      <c r="L939" s="6"/>
      <c r="M939" s="6"/>
      <c r="P939" s="6"/>
    </row>
    <row r="940" spans="4:16" x14ac:dyDescent="0.25">
      <c r="D940" s="6"/>
      <c r="E940" s="6"/>
      <c r="F940" s="6"/>
      <c r="G940" s="6"/>
      <c r="H940" s="6"/>
      <c r="I940" s="6"/>
      <c r="J940" s="6"/>
      <c r="K940" s="6"/>
      <c r="L940" s="6"/>
      <c r="M940" s="6"/>
      <c r="P940" s="6"/>
    </row>
    <row r="941" spans="4:16" x14ac:dyDescent="0.25">
      <c r="D941" s="6"/>
      <c r="E941" s="6"/>
      <c r="F941" s="6"/>
      <c r="G941" s="6"/>
      <c r="H941" s="6"/>
      <c r="I941" s="6"/>
      <c r="J941" s="6"/>
      <c r="K941" s="6"/>
      <c r="L941" s="6"/>
      <c r="M941" s="6"/>
      <c r="P941" s="6"/>
    </row>
    <row r="942" spans="4:16" x14ac:dyDescent="0.25">
      <c r="D942" s="6"/>
      <c r="E942" s="6"/>
      <c r="F942" s="6"/>
      <c r="G942" s="6"/>
      <c r="H942" s="6"/>
      <c r="I942" s="6"/>
      <c r="J942" s="6"/>
      <c r="K942" s="6"/>
      <c r="L942" s="6"/>
      <c r="M942" s="6"/>
      <c r="P942" s="6"/>
    </row>
    <row r="943" spans="4:16" x14ac:dyDescent="0.25">
      <c r="D943" s="6"/>
      <c r="E943" s="6"/>
      <c r="F943" s="6"/>
      <c r="G943" s="6"/>
      <c r="H943" s="6"/>
      <c r="I943" s="6"/>
      <c r="J943" s="6"/>
      <c r="K943" s="6"/>
      <c r="L943" s="6"/>
      <c r="M943" s="6"/>
      <c r="P943" s="6"/>
    </row>
    <row r="944" spans="4:16" x14ac:dyDescent="0.25">
      <c r="D944" s="6"/>
      <c r="E944" s="6"/>
      <c r="F944" s="6"/>
      <c r="G944" s="6"/>
      <c r="H944" s="6"/>
      <c r="I944" s="6"/>
      <c r="J944" s="6"/>
      <c r="K944" s="6"/>
      <c r="L944" s="6"/>
      <c r="M944" s="6"/>
      <c r="P944" s="6"/>
    </row>
    <row r="945" spans="4:16" x14ac:dyDescent="0.25">
      <c r="D945" s="6"/>
      <c r="E945" s="6"/>
      <c r="F945" s="6"/>
      <c r="G945" s="6"/>
      <c r="H945" s="6"/>
      <c r="I945" s="6"/>
      <c r="J945" s="6"/>
      <c r="K945" s="6"/>
      <c r="L945" s="6"/>
      <c r="M945" s="6"/>
      <c r="P945" s="6"/>
    </row>
    <row r="946" spans="4:16" x14ac:dyDescent="0.25">
      <c r="D946" s="6"/>
      <c r="E946" s="6"/>
      <c r="F946" s="6"/>
      <c r="G946" s="6"/>
      <c r="H946" s="6"/>
      <c r="I946" s="6"/>
      <c r="J946" s="6"/>
      <c r="K946" s="6"/>
      <c r="L946" s="6"/>
      <c r="M946" s="6"/>
      <c r="P946" s="6"/>
    </row>
    <row r="947" spans="4:16" x14ac:dyDescent="0.25">
      <c r="D947" s="6"/>
      <c r="E947" s="6"/>
      <c r="F947" s="6"/>
      <c r="G947" s="6"/>
      <c r="H947" s="6"/>
      <c r="I947" s="6"/>
      <c r="J947" s="6"/>
      <c r="K947" s="6"/>
      <c r="L947" s="6"/>
      <c r="M947" s="6"/>
      <c r="P947" s="6"/>
    </row>
    <row r="948" spans="4:16" x14ac:dyDescent="0.25">
      <c r="D948" s="6"/>
      <c r="E948" s="6"/>
      <c r="F948" s="6"/>
      <c r="G948" s="6"/>
      <c r="H948" s="6"/>
      <c r="I948" s="6"/>
      <c r="J948" s="6"/>
      <c r="K948" s="6"/>
      <c r="L948" s="6"/>
      <c r="M948" s="6"/>
      <c r="P948" s="6"/>
    </row>
    <row r="949" spans="4:16" x14ac:dyDescent="0.25">
      <c r="D949" s="6"/>
      <c r="E949" s="6"/>
      <c r="F949" s="6"/>
      <c r="G949" s="6"/>
      <c r="H949" s="6"/>
      <c r="I949" s="6"/>
      <c r="J949" s="6"/>
      <c r="K949" s="6"/>
      <c r="L949" s="6"/>
      <c r="M949" s="6"/>
      <c r="P949" s="6"/>
    </row>
    <row r="950" spans="4:16" x14ac:dyDescent="0.25">
      <c r="D950" s="6"/>
      <c r="E950" s="6"/>
      <c r="F950" s="6"/>
      <c r="G950" s="6"/>
      <c r="H950" s="6"/>
      <c r="I950" s="6"/>
      <c r="J950" s="6"/>
      <c r="K950" s="6"/>
      <c r="L950" s="6"/>
      <c r="M950" s="6"/>
      <c r="P950" s="6"/>
    </row>
    <row r="951" spans="4:16" x14ac:dyDescent="0.25">
      <c r="D951" s="6"/>
      <c r="E951" s="6"/>
      <c r="F951" s="6"/>
      <c r="G951" s="6"/>
      <c r="H951" s="6"/>
      <c r="I951" s="6"/>
      <c r="J951" s="6"/>
      <c r="K951" s="6"/>
      <c r="L951" s="6"/>
      <c r="M951" s="6"/>
      <c r="P951" s="6"/>
    </row>
    <row r="952" spans="4:16" x14ac:dyDescent="0.25">
      <c r="D952" s="6"/>
      <c r="E952" s="6"/>
      <c r="F952" s="6"/>
      <c r="G952" s="6"/>
      <c r="H952" s="6"/>
      <c r="I952" s="6"/>
      <c r="J952" s="6"/>
      <c r="K952" s="6"/>
      <c r="L952" s="6"/>
      <c r="M952" s="6"/>
      <c r="P952" s="6"/>
    </row>
    <row r="953" spans="4:16" x14ac:dyDescent="0.25">
      <c r="D953" s="6"/>
      <c r="E953" s="6"/>
      <c r="F953" s="6"/>
      <c r="G953" s="6"/>
      <c r="H953" s="6"/>
      <c r="I953" s="6"/>
      <c r="J953" s="6"/>
      <c r="K953" s="6"/>
      <c r="L953" s="6"/>
      <c r="M953" s="6"/>
      <c r="P953" s="6"/>
    </row>
    <row r="954" spans="4:16" x14ac:dyDescent="0.25">
      <c r="D954" s="6"/>
      <c r="E954" s="6"/>
      <c r="F954" s="6"/>
      <c r="G954" s="6"/>
      <c r="H954" s="6"/>
      <c r="I954" s="6"/>
      <c r="J954" s="6"/>
      <c r="K954" s="6"/>
      <c r="L954" s="6"/>
      <c r="M954" s="6"/>
      <c r="P954" s="6"/>
    </row>
    <row r="955" spans="4:16" x14ac:dyDescent="0.25">
      <c r="D955" s="6"/>
      <c r="E955" s="6"/>
      <c r="F955" s="6"/>
      <c r="G955" s="6"/>
      <c r="H955" s="6"/>
      <c r="I955" s="6"/>
      <c r="J955" s="6"/>
      <c r="K955" s="6"/>
      <c r="L955" s="6"/>
      <c r="M955" s="6"/>
      <c r="P955" s="6"/>
    </row>
    <row r="956" spans="4:16" x14ac:dyDescent="0.25">
      <c r="D956" s="6"/>
      <c r="E956" s="6"/>
      <c r="F956" s="6"/>
      <c r="G956" s="6"/>
      <c r="H956" s="6"/>
      <c r="I956" s="6"/>
      <c r="J956" s="6"/>
      <c r="K956" s="6"/>
      <c r="L956" s="6"/>
      <c r="M956" s="6"/>
      <c r="P956" s="6"/>
    </row>
    <row r="957" spans="4:16" x14ac:dyDescent="0.25">
      <c r="D957" s="6"/>
      <c r="E957" s="6"/>
      <c r="F957" s="6"/>
      <c r="G957" s="6"/>
      <c r="H957" s="6"/>
      <c r="I957" s="6"/>
      <c r="J957" s="6"/>
      <c r="K957" s="6"/>
      <c r="L957" s="6"/>
      <c r="M957" s="6"/>
      <c r="P957" s="6"/>
    </row>
    <row r="958" spans="4:16" x14ac:dyDescent="0.25">
      <c r="D958" s="6"/>
      <c r="E958" s="6"/>
      <c r="F958" s="6"/>
      <c r="G958" s="6"/>
      <c r="H958" s="6"/>
      <c r="I958" s="6"/>
      <c r="J958" s="6"/>
      <c r="K958" s="6"/>
      <c r="L958" s="6"/>
      <c r="M958" s="6"/>
      <c r="P958" s="6"/>
    </row>
    <row r="959" spans="4:16" x14ac:dyDescent="0.25">
      <c r="D959" s="6"/>
      <c r="E959" s="6"/>
      <c r="F959" s="6"/>
      <c r="G959" s="6"/>
      <c r="H959" s="6"/>
      <c r="I959" s="6"/>
      <c r="J959" s="6"/>
      <c r="K959" s="6"/>
      <c r="L959" s="6"/>
      <c r="M959" s="6"/>
      <c r="P959" s="6"/>
    </row>
    <row r="960" spans="4:16" x14ac:dyDescent="0.25">
      <c r="D960" s="6"/>
      <c r="E960" s="6"/>
      <c r="F960" s="6"/>
      <c r="G960" s="6"/>
      <c r="H960" s="6"/>
      <c r="I960" s="6"/>
      <c r="J960" s="6"/>
      <c r="K960" s="6"/>
      <c r="L960" s="6"/>
      <c r="M960" s="6"/>
      <c r="P960" s="6"/>
    </row>
    <row r="961" spans="4:16" x14ac:dyDescent="0.25">
      <c r="D961" s="6"/>
      <c r="E961" s="6"/>
      <c r="F961" s="6"/>
      <c r="G961" s="6"/>
      <c r="H961" s="6"/>
      <c r="I961" s="6"/>
      <c r="J961" s="6"/>
      <c r="K961" s="6"/>
      <c r="L961" s="6"/>
      <c r="M961" s="6"/>
      <c r="P961" s="6"/>
    </row>
    <row r="962" spans="4:16" x14ac:dyDescent="0.25">
      <c r="D962" s="6"/>
      <c r="E962" s="6"/>
      <c r="F962" s="6"/>
      <c r="G962" s="6"/>
      <c r="H962" s="6"/>
      <c r="I962" s="6"/>
      <c r="J962" s="6"/>
      <c r="K962" s="6"/>
      <c r="L962" s="6"/>
      <c r="M962" s="6"/>
      <c r="P962" s="6"/>
    </row>
    <row r="963" spans="4:16" x14ac:dyDescent="0.25">
      <c r="D963" s="6"/>
      <c r="E963" s="6"/>
      <c r="F963" s="6"/>
      <c r="G963" s="6"/>
      <c r="H963" s="6"/>
      <c r="I963" s="6"/>
      <c r="J963" s="6"/>
      <c r="K963" s="6"/>
      <c r="L963" s="6"/>
      <c r="M963" s="6"/>
      <c r="P963" s="6"/>
    </row>
    <row r="964" spans="4:16" x14ac:dyDescent="0.25">
      <c r="D964" s="6"/>
      <c r="E964" s="6"/>
      <c r="F964" s="6"/>
      <c r="G964" s="6"/>
      <c r="H964" s="6"/>
      <c r="I964" s="6"/>
      <c r="J964" s="6"/>
      <c r="K964" s="6"/>
      <c r="L964" s="6"/>
      <c r="M964" s="6"/>
      <c r="P964" s="6"/>
    </row>
    <row r="965" spans="4:16" x14ac:dyDescent="0.25">
      <c r="D965" s="6"/>
      <c r="E965" s="6"/>
      <c r="F965" s="6"/>
      <c r="G965" s="6"/>
      <c r="H965" s="6"/>
      <c r="I965" s="6"/>
      <c r="J965" s="6"/>
      <c r="K965" s="6"/>
      <c r="L965" s="6"/>
      <c r="M965" s="6"/>
      <c r="P965" s="6"/>
    </row>
    <row r="966" spans="4:16" x14ac:dyDescent="0.25">
      <c r="D966" s="6"/>
      <c r="E966" s="6"/>
      <c r="F966" s="6"/>
      <c r="G966" s="6"/>
      <c r="H966" s="6"/>
      <c r="I966" s="6"/>
      <c r="J966" s="6"/>
      <c r="K966" s="6"/>
      <c r="L966" s="6"/>
      <c r="M966" s="6"/>
      <c r="P966" s="6"/>
    </row>
    <row r="967" spans="4:16" x14ac:dyDescent="0.25">
      <c r="D967" s="6"/>
      <c r="E967" s="6"/>
      <c r="F967" s="6"/>
      <c r="G967" s="6"/>
      <c r="H967" s="6"/>
      <c r="I967" s="6"/>
      <c r="J967" s="6"/>
      <c r="K967" s="6"/>
      <c r="L967" s="6"/>
      <c r="M967" s="6"/>
      <c r="P967" s="6"/>
    </row>
    <row r="968" spans="4:16" x14ac:dyDescent="0.25">
      <c r="D968" s="6"/>
      <c r="E968" s="6"/>
      <c r="F968" s="6"/>
      <c r="G968" s="6"/>
      <c r="H968" s="6"/>
      <c r="I968" s="6"/>
      <c r="J968" s="6"/>
      <c r="K968" s="6"/>
      <c r="L968" s="6"/>
      <c r="M968" s="6"/>
      <c r="P968" s="6"/>
    </row>
    <row r="969" spans="4:16" x14ac:dyDescent="0.25">
      <c r="D969" s="6"/>
      <c r="E969" s="6"/>
      <c r="F969" s="6"/>
      <c r="G969" s="6"/>
      <c r="H969" s="6"/>
      <c r="I969" s="6"/>
      <c r="J969" s="6"/>
      <c r="K969" s="6"/>
      <c r="L969" s="6"/>
      <c r="M969" s="6"/>
      <c r="P969" s="6"/>
    </row>
    <row r="970" spans="4:16" x14ac:dyDescent="0.25">
      <c r="D970" s="6"/>
      <c r="E970" s="6"/>
      <c r="F970" s="6"/>
      <c r="G970" s="6"/>
      <c r="H970" s="6"/>
      <c r="I970" s="6"/>
      <c r="J970" s="6"/>
      <c r="K970" s="6"/>
      <c r="L970" s="6"/>
      <c r="M970" s="6"/>
      <c r="P970" s="6"/>
    </row>
    <row r="971" spans="4:16" x14ac:dyDescent="0.25">
      <c r="D971" s="6"/>
      <c r="E971" s="6"/>
      <c r="F971" s="6"/>
      <c r="G971" s="6"/>
      <c r="H971" s="6"/>
      <c r="I971" s="6"/>
      <c r="J971" s="6"/>
      <c r="K971" s="6"/>
      <c r="L971" s="6"/>
      <c r="M971" s="6"/>
      <c r="P971" s="6"/>
    </row>
    <row r="972" spans="4:16" x14ac:dyDescent="0.25">
      <c r="D972" s="6"/>
      <c r="E972" s="6"/>
      <c r="F972" s="6"/>
      <c r="G972" s="6"/>
      <c r="H972" s="6"/>
      <c r="I972" s="6"/>
      <c r="J972" s="6"/>
      <c r="K972" s="6"/>
      <c r="L972" s="6"/>
      <c r="M972" s="6"/>
      <c r="P972" s="6"/>
    </row>
    <row r="973" spans="4:16" x14ac:dyDescent="0.25">
      <c r="D973" s="6"/>
      <c r="E973" s="6"/>
      <c r="F973" s="6"/>
      <c r="G973" s="6"/>
      <c r="H973" s="6"/>
      <c r="I973" s="6"/>
      <c r="J973" s="6"/>
      <c r="K973" s="6"/>
      <c r="L973" s="6"/>
      <c r="M973" s="6"/>
      <c r="P973" s="6"/>
    </row>
    <row r="974" spans="4:16" x14ac:dyDescent="0.25">
      <c r="D974" s="6"/>
      <c r="E974" s="6"/>
      <c r="F974" s="6"/>
      <c r="G974" s="6"/>
      <c r="H974" s="6"/>
      <c r="I974" s="6"/>
      <c r="J974" s="6"/>
      <c r="K974" s="6"/>
      <c r="L974" s="6"/>
      <c r="M974" s="6"/>
      <c r="P974" s="6"/>
    </row>
    <row r="975" spans="4:16" x14ac:dyDescent="0.25">
      <c r="D975" s="6"/>
      <c r="E975" s="6"/>
      <c r="F975" s="6"/>
      <c r="G975" s="6"/>
      <c r="H975" s="6"/>
      <c r="I975" s="6"/>
      <c r="J975" s="6"/>
      <c r="K975" s="6"/>
      <c r="L975" s="6"/>
      <c r="M975" s="6"/>
      <c r="P975" s="6"/>
    </row>
    <row r="976" spans="4:16" x14ac:dyDescent="0.25">
      <c r="D976" s="6"/>
      <c r="E976" s="6"/>
      <c r="F976" s="6"/>
      <c r="G976" s="6"/>
      <c r="H976" s="6"/>
      <c r="I976" s="6"/>
      <c r="J976" s="6"/>
      <c r="K976" s="6"/>
      <c r="L976" s="6"/>
      <c r="M976" s="6"/>
      <c r="P976" s="6"/>
    </row>
    <row r="977" spans="4:16" x14ac:dyDescent="0.25">
      <c r="D977" s="6"/>
      <c r="E977" s="6"/>
      <c r="F977" s="6"/>
      <c r="G977" s="6"/>
      <c r="H977" s="6"/>
      <c r="I977" s="6"/>
      <c r="J977" s="6"/>
      <c r="K977" s="6"/>
      <c r="L977" s="6"/>
      <c r="M977" s="6"/>
      <c r="P977" s="6"/>
    </row>
    <row r="978" spans="4:16" x14ac:dyDescent="0.25">
      <c r="D978" s="6"/>
      <c r="E978" s="6"/>
      <c r="F978" s="6"/>
      <c r="G978" s="6"/>
      <c r="H978" s="6"/>
      <c r="I978" s="6"/>
      <c r="J978" s="6"/>
      <c r="K978" s="6"/>
      <c r="L978" s="6"/>
      <c r="M978" s="6"/>
      <c r="P978" s="6"/>
    </row>
    <row r="979" spans="4:16" x14ac:dyDescent="0.25">
      <c r="D979" s="6"/>
      <c r="E979" s="6"/>
      <c r="F979" s="6"/>
      <c r="G979" s="6"/>
      <c r="H979" s="6"/>
      <c r="I979" s="6"/>
      <c r="J979" s="6"/>
      <c r="K979" s="6"/>
      <c r="L979" s="6"/>
      <c r="M979" s="6"/>
      <c r="P979" s="6"/>
    </row>
    <row r="980" spans="4:16" x14ac:dyDescent="0.25">
      <c r="D980" s="6"/>
      <c r="E980" s="6"/>
      <c r="F980" s="6"/>
      <c r="G980" s="6"/>
      <c r="H980" s="6"/>
      <c r="I980" s="6"/>
      <c r="J980" s="6"/>
      <c r="K980" s="6"/>
      <c r="L980" s="6"/>
      <c r="M980" s="6"/>
      <c r="P980" s="6"/>
    </row>
    <row r="981" spans="4:16" x14ac:dyDescent="0.25">
      <c r="D981" s="6"/>
      <c r="E981" s="6"/>
      <c r="F981" s="6"/>
      <c r="G981" s="6"/>
      <c r="H981" s="6"/>
      <c r="I981" s="6"/>
      <c r="J981" s="6"/>
      <c r="K981" s="6"/>
      <c r="L981" s="6"/>
      <c r="M981" s="6"/>
      <c r="P981" s="6"/>
    </row>
    <row r="982" spans="4:16" x14ac:dyDescent="0.25">
      <c r="D982" s="6"/>
      <c r="E982" s="6"/>
      <c r="F982" s="6"/>
      <c r="G982" s="6"/>
      <c r="H982" s="6"/>
      <c r="I982" s="6"/>
      <c r="J982" s="6"/>
      <c r="K982" s="6"/>
      <c r="L982" s="6"/>
      <c r="M982" s="6"/>
      <c r="P982" s="6"/>
    </row>
    <row r="983" spans="4:16" x14ac:dyDescent="0.25">
      <c r="D983" s="6"/>
      <c r="E983" s="6"/>
      <c r="F983" s="6"/>
      <c r="G983" s="6"/>
      <c r="H983" s="6"/>
      <c r="I983" s="6"/>
      <c r="J983" s="6"/>
      <c r="K983" s="6"/>
      <c r="L983" s="6"/>
      <c r="M983" s="6"/>
      <c r="P983" s="6"/>
    </row>
    <row r="984" spans="4:16" x14ac:dyDescent="0.25">
      <c r="D984" s="6"/>
      <c r="E984" s="6"/>
      <c r="F984" s="6"/>
      <c r="G984" s="6"/>
      <c r="H984" s="6"/>
      <c r="I984" s="6"/>
      <c r="J984" s="6"/>
      <c r="K984" s="6"/>
      <c r="L984" s="6"/>
      <c r="M984" s="6"/>
      <c r="P984" s="6"/>
    </row>
    <row r="985" spans="4:16" x14ac:dyDescent="0.25">
      <c r="D985" s="6"/>
      <c r="E985" s="6"/>
      <c r="F985" s="6"/>
      <c r="G985" s="6"/>
      <c r="H985" s="6"/>
      <c r="I985" s="6"/>
      <c r="J985" s="6"/>
      <c r="K985" s="6"/>
      <c r="L985" s="6"/>
      <c r="M985" s="6"/>
      <c r="P985" s="6"/>
    </row>
    <row r="986" spans="4:16" x14ac:dyDescent="0.25">
      <c r="D986" s="6"/>
      <c r="E986" s="6"/>
      <c r="F986" s="6"/>
      <c r="G986" s="6"/>
      <c r="H986" s="6"/>
      <c r="I986" s="6"/>
      <c r="J986" s="6"/>
      <c r="K986" s="6"/>
      <c r="L986" s="6"/>
      <c r="M986" s="6"/>
      <c r="P986" s="6"/>
    </row>
    <row r="987" spans="4:16" x14ac:dyDescent="0.25">
      <c r="D987" s="6"/>
      <c r="E987" s="6"/>
      <c r="F987" s="6"/>
      <c r="G987" s="6"/>
      <c r="H987" s="6"/>
      <c r="I987" s="6"/>
      <c r="J987" s="6"/>
      <c r="K987" s="6"/>
      <c r="L987" s="6"/>
      <c r="M987" s="6"/>
      <c r="P987" s="6"/>
    </row>
    <row r="988" spans="4:16" x14ac:dyDescent="0.25">
      <c r="D988" s="6"/>
      <c r="E988" s="6"/>
      <c r="F988" s="6"/>
      <c r="G988" s="6"/>
      <c r="H988" s="6"/>
      <c r="I988" s="6"/>
      <c r="J988" s="6"/>
      <c r="K988" s="6"/>
      <c r="L988" s="6"/>
      <c r="M988" s="6"/>
      <c r="P988" s="6"/>
    </row>
    <row r="989" spans="4:16" x14ac:dyDescent="0.25">
      <c r="D989" s="6"/>
      <c r="E989" s="6"/>
      <c r="F989" s="6"/>
      <c r="G989" s="6"/>
      <c r="H989" s="6"/>
      <c r="I989" s="6"/>
      <c r="J989" s="6"/>
      <c r="K989" s="6"/>
      <c r="L989" s="6"/>
      <c r="M989" s="6"/>
      <c r="P989" s="6"/>
    </row>
    <row r="990" spans="4:16" x14ac:dyDescent="0.25">
      <c r="D990" s="6"/>
      <c r="E990" s="6"/>
      <c r="F990" s="6"/>
      <c r="G990" s="6"/>
      <c r="H990" s="6"/>
      <c r="I990" s="6"/>
      <c r="J990" s="6"/>
      <c r="K990" s="6"/>
      <c r="L990" s="6"/>
      <c r="M990" s="6"/>
      <c r="P990" s="6"/>
    </row>
    <row r="991" spans="4:16" x14ac:dyDescent="0.25">
      <c r="D991" s="6"/>
      <c r="E991" s="6"/>
      <c r="F991" s="6"/>
      <c r="G991" s="6"/>
      <c r="H991" s="6"/>
      <c r="I991" s="6"/>
      <c r="J991" s="6"/>
      <c r="K991" s="6"/>
      <c r="L991" s="6"/>
      <c r="M991" s="6"/>
      <c r="P991" s="6"/>
    </row>
    <row r="992" spans="4:16" x14ac:dyDescent="0.25">
      <c r="D992" s="6"/>
      <c r="E992" s="6"/>
      <c r="F992" s="6"/>
      <c r="G992" s="6"/>
      <c r="H992" s="6"/>
      <c r="I992" s="6"/>
      <c r="J992" s="6"/>
      <c r="K992" s="6"/>
      <c r="L992" s="6"/>
      <c r="M992" s="6"/>
      <c r="P992" s="6"/>
    </row>
    <row r="993" spans="4:16" x14ac:dyDescent="0.25">
      <c r="D993" s="6"/>
      <c r="E993" s="6"/>
      <c r="F993" s="6"/>
      <c r="G993" s="6"/>
      <c r="H993" s="6"/>
      <c r="I993" s="6"/>
      <c r="J993" s="6"/>
      <c r="K993" s="6"/>
      <c r="L993" s="6"/>
      <c r="M993" s="6"/>
      <c r="P993" s="6"/>
    </row>
    <row r="994" spans="4:16" x14ac:dyDescent="0.25">
      <c r="D994" s="6"/>
      <c r="E994" s="6"/>
      <c r="F994" s="6"/>
      <c r="G994" s="6"/>
      <c r="H994" s="6"/>
      <c r="I994" s="6"/>
      <c r="J994" s="6"/>
      <c r="K994" s="6"/>
      <c r="L994" s="6"/>
      <c r="M994" s="6"/>
      <c r="P994" s="6"/>
    </row>
    <row r="995" spans="4:16" x14ac:dyDescent="0.25">
      <c r="D995" s="6"/>
      <c r="E995" s="6"/>
      <c r="F995" s="6"/>
      <c r="G995" s="6"/>
      <c r="H995" s="6"/>
      <c r="I995" s="6"/>
      <c r="J995" s="6"/>
      <c r="K995" s="6"/>
      <c r="L995" s="6"/>
      <c r="M995" s="6"/>
      <c r="P995" s="6"/>
    </row>
    <row r="996" spans="4:16" x14ac:dyDescent="0.25">
      <c r="D996" s="6"/>
      <c r="E996" s="6"/>
      <c r="F996" s="6"/>
      <c r="G996" s="6"/>
      <c r="H996" s="6"/>
      <c r="I996" s="6"/>
      <c r="J996" s="6"/>
      <c r="K996" s="6"/>
      <c r="L996" s="6"/>
      <c r="M996" s="6"/>
      <c r="P996" s="6"/>
    </row>
    <row r="997" spans="4:16" x14ac:dyDescent="0.25">
      <c r="D997" s="6"/>
      <c r="E997" s="6"/>
      <c r="F997" s="6"/>
      <c r="G997" s="6"/>
      <c r="H997" s="6"/>
      <c r="I997" s="6"/>
      <c r="J997" s="6"/>
      <c r="K997" s="6"/>
      <c r="L997" s="6"/>
      <c r="M997" s="6"/>
      <c r="P997" s="6"/>
    </row>
    <row r="998" spans="4:16" x14ac:dyDescent="0.25">
      <c r="D998" s="6"/>
      <c r="E998" s="6"/>
      <c r="F998" s="6"/>
      <c r="G998" s="6"/>
      <c r="H998" s="6"/>
      <c r="I998" s="6"/>
      <c r="J998" s="6"/>
      <c r="K998" s="6"/>
      <c r="L998" s="6"/>
      <c r="M998" s="6"/>
      <c r="P998" s="6"/>
    </row>
    <row r="999" spans="4:16" x14ac:dyDescent="0.25">
      <c r="D999" s="6"/>
      <c r="E999" s="6"/>
      <c r="F999" s="6"/>
      <c r="G999" s="6"/>
      <c r="H999" s="6"/>
      <c r="I999" s="6"/>
      <c r="J999" s="6"/>
      <c r="K999" s="6"/>
      <c r="L999" s="6"/>
      <c r="M999" s="6"/>
      <c r="P999" s="6"/>
    </row>
    <row r="1000" spans="4:16" x14ac:dyDescent="0.25"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P1000" s="6"/>
    </row>
    <row r="1001" spans="4:16" x14ac:dyDescent="0.25"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P1001" s="6"/>
    </row>
    <row r="1002" spans="4:16" x14ac:dyDescent="0.25"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P1002" s="6"/>
    </row>
    <row r="1003" spans="4:16" x14ac:dyDescent="0.25"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P1003" s="6"/>
    </row>
    <row r="1004" spans="4:16" x14ac:dyDescent="0.25"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P1004" s="6"/>
    </row>
    <row r="1005" spans="4:16" x14ac:dyDescent="0.25"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P1005" s="6"/>
    </row>
    <row r="1006" spans="4:16" x14ac:dyDescent="0.25"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P1006" s="6"/>
    </row>
    <row r="1007" spans="4:16" x14ac:dyDescent="0.25"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P1007" s="6"/>
    </row>
    <row r="1008" spans="4:16" x14ac:dyDescent="0.25"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P1008" s="6"/>
    </row>
    <row r="1009" spans="4:16" x14ac:dyDescent="0.25"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P1009" s="6"/>
    </row>
    <row r="1010" spans="4:16" x14ac:dyDescent="0.25"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P1010" s="6"/>
    </row>
    <row r="1011" spans="4:16" x14ac:dyDescent="0.25"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P1011" s="6"/>
    </row>
    <row r="1012" spans="4:16" x14ac:dyDescent="0.25"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P1012" s="6"/>
    </row>
    <row r="1013" spans="4:16" x14ac:dyDescent="0.25"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P1013" s="6"/>
    </row>
    <row r="1014" spans="4:16" x14ac:dyDescent="0.25"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P1014" s="6"/>
    </row>
    <row r="1015" spans="4:16" x14ac:dyDescent="0.25"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P1015" s="6"/>
    </row>
    <row r="1016" spans="4:16" x14ac:dyDescent="0.25"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P1016" s="6"/>
    </row>
    <row r="1017" spans="4:16" x14ac:dyDescent="0.25"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P1017" s="6"/>
    </row>
    <row r="1018" spans="4:16" x14ac:dyDescent="0.25"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P1018" s="6"/>
    </row>
    <row r="1019" spans="4:16" x14ac:dyDescent="0.25"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P1019" s="6"/>
    </row>
    <row r="1020" spans="4:16" x14ac:dyDescent="0.25"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P1020" s="6"/>
    </row>
    <row r="1021" spans="4:16" x14ac:dyDescent="0.25"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P1021" s="6"/>
    </row>
    <row r="1022" spans="4:16" x14ac:dyDescent="0.25"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P1022" s="6"/>
    </row>
    <row r="1023" spans="4:16" x14ac:dyDescent="0.25"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P1023" s="6"/>
    </row>
    <row r="1024" spans="4:16" x14ac:dyDescent="0.25"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P1024" s="6"/>
    </row>
    <row r="1025" spans="4:16" x14ac:dyDescent="0.25"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P1025" s="6"/>
    </row>
    <row r="1026" spans="4:16" x14ac:dyDescent="0.25"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P1026" s="6"/>
    </row>
    <row r="1027" spans="4:16" x14ac:dyDescent="0.25"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P1027" s="6"/>
    </row>
    <row r="1028" spans="4:16" x14ac:dyDescent="0.25"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P1028" s="6"/>
    </row>
    <row r="1029" spans="4:16" x14ac:dyDescent="0.25"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P1029" s="6"/>
    </row>
    <row r="1030" spans="4:16" x14ac:dyDescent="0.25"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P1030" s="6"/>
    </row>
    <row r="1031" spans="4:16" x14ac:dyDescent="0.25"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P1031" s="6"/>
    </row>
    <row r="1032" spans="4:16" x14ac:dyDescent="0.25"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P1032" s="6"/>
    </row>
    <row r="1033" spans="4:16" x14ac:dyDescent="0.25"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P1033" s="6"/>
    </row>
    <row r="1034" spans="4:16" x14ac:dyDescent="0.25"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P1034" s="6"/>
    </row>
    <row r="1035" spans="4:16" x14ac:dyDescent="0.25"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P1035" s="6"/>
    </row>
    <row r="1036" spans="4:16" x14ac:dyDescent="0.25"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P1036" s="6"/>
    </row>
    <row r="1037" spans="4:16" x14ac:dyDescent="0.25"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P1037" s="6"/>
    </row>
    <row r="1038" spans="4:16" x14ac:dyDescent="0.25"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P1038" s="6"/>
    </row>
    <row r="1039" spans="4:16" x14ac:dyDescent="0.25"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P1039" s="6"/>
    </row>
    <row r="1040" spans="4:16" x14ac:dyDescent="0.25"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P1040" s="6"/>
    </row>
    <row r="1041" spans="4:16" x14ac:dyDescent="0.25"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P1041" s="6"/>
    </row>
    <row r="1042" spans="4:16" x14ac:dyDescent="0.25"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P1042" s="6"/>
    </row>
    <row r="1043" spans="4:16" x14ac:dyDescent="0.25"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P1043" s="6"/>
    </row>
    <row r="1044" spans="4:16" x14ac:dyDescent="0.25"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P1044" s="6"/>
    </row>
    <row r="1045" spans="4:16" x14ac:dyDescent="0.25"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P1045" s="6"/>
    </row>
    <row r="1046" spans="4:16" x14ac:dyDescent="0.25"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P1046" s="6"/>
    </row>
    <row r="1047" spans="4:16" x14ac:dyDescent="0.25"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P1047" s="6"/>
    </row>
    <row r="1048" spans="4:16" x14ac:dyDescent="0.25"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P1048" s="6"/>
    </row>
    <row r="1049" spans="4:16" x14ac:dyDescent="0.25"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P1049" s="6"/>
    </row>
    <row r="1050" spans="4:16" x14ac:dyDescent="0.25"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P1050" s="6"/>
    </row>
    <row r="1051" spans="4:16" x14ac:dyDescent="0.25"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P1051" s="6"/>
    </row>
    <row r="1052" spans="4:16" x14ac:dyDescent="0.25"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P1052" s="6"/>
    </row>
    <row r="1053" spans="4:16" x14ac:dyDescent="0.25"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P1053" s="6"/>
    </row>
    <row r="1054" spans="4:16" x14ac:dyDescent="0.25"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P1054" s="6"/>
    </row>
    <row r="1055" spans="4:16" x14ac:dyDescent="0.25"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P1055" s="6"/>
    </row>
    <row r="1056" spans="4:16" x14ac:dyDescent="0.25"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P1056" s="6"/>
    </row>
    <row r="1057" spans="4:16" x14ac:dyDescent="0.25"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P1057" s="6"/>
    </row>
    <row r="1058" spans="4:16" x14ac:dyDescent="0.25"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P1058" s="6"/>
    </row>
    <row r="1059" spans="4:16" x14ac:dyDescent="0.25"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P1059" s="6"/>
    </row>
    <row r="1060" spans="4:16" x14ac:dyDescent="0.25"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P1060" s="6"/>
    </row>
    <row r="1061" spans="4:16" x14ac:dyDescent="0.25"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P1061" s="6"/>
    </row>
    <row r="1062" spans="4:16" x14ac:dyDescent="0.25"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P1062" s="6"/>
    </row>
    <row r="1063" spans="4:16" x14ac:dyDescent="0.25"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P1063" s="6"/>
    </row>
    <row r="1064" spans="4:16" x14ac:dyDescent="0.25"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P1064" s="6"/>
    </row>
    <row r="1065" spans="4:16" x14ac:dyDescent="0.25"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P1065" s="6"/>
    </row>
    <row r="1066" spans="4:16" x14ac:dyDescent="0.25"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P1066" s="6"/>
    </row>
    <row r="1067" spans="4:16" x14ac:dyDescent="0.25"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P1067" s="6"/>
    </row>
    <row r="1068" spans="4:16" x14ac:dyDescent="0.25"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P1068" s="6"/>
    </row>
    <row r="1069" spans="4:16" x14ac:dyDescent="0.25"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P1069" s="6"/>
    </row>
    <row r="1070" spans="4:16" x14ac:dyDescent="0.25"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P1070" s="6"/>
    </row>
    <row r="1071" spans="4:16" x14ac:dyDescent="0.25"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P1071" s="6"/>
    </row>
    <row r="1072" spans="4:16" x14ac:dyDescent="0.25"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P1072" s="6"/>
    </row>
    <row r="1073" spans="4:16" x14ac:dyDescent="0.25"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P1073" s="6"/>
    </row>
    <row r="1074" spans="4:16" x14ac:dyDescent="0.25"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P1074" s="6"/>
    </row>
    <row r="1075" spans="4:16" x14ac:dyDescent="0.25"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P1075" s="6"/>
    </row>
    <row r="1076" spans="4:16" x14ac:dyDescent="0.25"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P1076" s="6"/>
    </row>
    <row r="1077" spans="4:16" x14ac:dyDescent="0.25"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P1077" s="6"/>
    </row>
    <row r="1078" spans="4:16" x14ac:dyDescent="0.25"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P1078" s="6"/>
    </row>
    <row r="1079" spans="4:16" x14ac:dyDescent="0.25"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P1079" s="6"/>
    </row>
    <row r="1080" spans="4:16" x14ac:dyDescent="0.25"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P1080" s="6"/>
    </row>
    <row r="1081" spans="4:16" x14ac:dyDescent="0.25"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P1081" s="6"/>
    </row>
    <row r="1082" spans="4:16" x14ac:dyDescent="0.25"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P1082" s="6"/>
    </row>
    <row r="1083" spans="4:16" x14ac:dyDescent="0.25"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P1083" s="6"/>
    </row>
    <row r="1084" spans="4:16" x14ac:dyDescent="0.25"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P1084" s="6"/>
    </row>
    <row r="1085" spans="4:16" x14ac:dyDescent="0.25"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P1085" s="6"/>
    </row>
    <row r="1086" spans="4:16" x14ac:dyDescent="0.25"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P1086" s="6"/>
    </row>
    <row r="1087" spans="4:16" x14ac:dyDescent="0.25"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P1087" s="6"/>
    </row>
    <row r="1088" spans="4:16" x14ac:dyDescent="0.25"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P1088" s="6"/>
    </row>
    <row r="1089" spans="4:16" x14ac:dyDescent="0.25"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P1089" s="6"/>
    </row>
    <row r="1090" spans="4:16" x14ac:dyDescent="0.25"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P1090" s="6"/>
    </row>
    <row r="1091" spans="4:16" x14ac:dyDescent="0.25"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P1091" s="6"/>
    </row>
    <row r="1092" spans="4:16" x14ac:dyDescent="0.25"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P1092" s="6"/>
    </row>
    <row r="1093" spans="4:16" x14ac:dyDescent="0.25"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P1093" s="6"/>
    </row>
    <row r="1094" spans="4:16" x14ac:dyDescent="0.25"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P1094" s="6"/>
    </row>
    <row r="1095" spans="4:16" x14ac:dyDescent="0.25"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P1095" s="6"/>
    </row>
    <row r="1096" spans="4:16" x14ac:dyDescent="0.25"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P1096" s="6"/>
    </row>
    <row r="1097" spans="4:16" x14ac:dyDescent="0.25"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P1097" s="6"/>
    </row>
    <row r="1098" spans="4:16" x14ac:dyDescent="0.25"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P1098" s="6"/>
    </row>
    <row r="1099" spans="4:16" x14ac:dyDescent="0.25"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P1099" s="6"/>
    </row>
    <row r="1100" spans="4:16" x14ac:dyDescent="0.25"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P1100" s="6"/>
    </row>
    <row r="1101" spans="4:16" x14ac:dyDescent="0.25"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P1101" s="6"/>
    </row>
    <row r="1102" spans="4:16" x14ac:dyDescent="0.25"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P1102" s="6"/>
    </row>
    <row r="1103" spans="4:16" x14ac:dyDescent="0.25"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P1103" s="6"/>
    </row>
    <row r="1104" spans="4:16" x14ac:dyDescent="0.25"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P1104" s="6"/>
    </row>
    <row r="1105" spans="4:16" x14ac:dyDescent="0.25"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P1105" s="6"/>
    </row>
    <row r="1106" spans="4:16" x14ac:dyDescent="0.25"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P1106" s="6"/>
    </row>
    <row r="1107" spans="4:16" x14ac:dyDescent="0.25"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P1107" s="6"/>
    </row>
    <row r="1108" spans="4:16" x14ac:dyDescent="0.25"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P1108" s="6"/>
    </row>
    <row r="1109" spans="4:16" x14ac:dyDescent="0.25"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P1109" s="6"/>
    </row>
    <row r="1110" spans="4:16" x14ac:dyDescent="0.25"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P1110" s="6"/>
    </row>
    <row r="1111" spans="4:16" x14ac:dyDescent="0.25"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P1111" s="6"/>
    </row>
    <row r="1112" spans="4:16" x14ac:dyDescent="0.25"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P1112" s="6"/>
    </row>
    <row r="1113" spans="4:16" x14ac:dyDescent="0.25"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P1113" s="6"/>
    </row>
    <row r="1114" spans="4:16" x14ac:dyDescent="0.25"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P1114" s="6"/>
    </row>
    <row r="1115" spans="4:16" x14ac:dyDescent="0.25"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P1115" s="6"/>
    </row>
    <row r="1116" spans="4:16" x14ac:dyDescent="0.25"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P1116" s="6"/>
    </row>
    <row r="1117" spans="4:16" x14ac:dyDescent="0.25"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P1117" s="6"/>
    </row>
    <row r="1118" spans="4:16" x14ac:dyDescent="0.25"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P1118" s="6"/>
    </row>
    <row r="1119" spans="4:16" x14ac:dyDescent="0.25"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P1119" s="6"/>
    </row>
    <row r="1120" spans="4:16" x14ac:dyDescent="0.25"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P1120" s="6"/>
    </row>
    <row r="1121" spans="4:16" x14ac:dyDescent="0.25"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P1121" s="6"/>
    </row>
    <row r="1122" spans="4:16" x14ac:dyDescent="0.25"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P1122" s="6"/>
    </row>
    <row r="1123" spans="4:16" x14ac:dyDescent="0.25"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P1123" s="6"/>
    </row>
    <row r="1124" spans="4:16" x14ac:dyDescent="0.25"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P1124" s="6"/>
    </row>
    <row r="1125" spans="4:16" x14ac:dyDescent="0.25"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P1125" s="6"/>
    </row>
    <row r="1126" spans="4:16" x14ac:dyDescent="0.25"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P1126" s="6"/>
    </row>
    <row r="1127" spans="4:16" x14ac:dyDescent="0.25"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P1127" s="6"/>
    </row>
    <row r="1128" spans="4:16" x14ac:dyDescent="0.25"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P1128" s="6"/>
    </row>
    <row r="1129" spans="4:16" x14ac:dyDescent="0.25"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P1129" s="6"/>
    </row>
    <row r="1130" spans="4:16" x14ac:dyDescent="0.25"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P1130" s="6"/>
    </row>
    <row r="1131" spans="4:16" x14ac:dyDescent="0.25"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P1131" s="6"/>
    </row>
    <row r="1132" spans="4:16" x14ac:dyDescent="0.25"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P1132" s="6"/>
    </row>
    <row r="1133" spans="4:16" x14ac:dyDescent="0.25"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P1133" s="6"/>
    </row>
    <row r="1134" spans="4:16" x14ac:dyDescent="0.25"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P1134" s="6"/>
    </row>
    <row r="1135" spans="4:16" x14ac:dyDescent="0.25"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P1135" s="6"/>
    </row>
    <row r="1136" spans="4:16" x14ac:dyDescent="0.25"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P1136" s="6"/>
    </row>
    <row r="1137" spans="4:16" x14ac:dyDescent="0.25"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P1137" s="6"/>
    </row>
    <row r="1138" spans="4:16" x14ac:dyDescent="0.25"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P1138" s="6"/>
    </row>
    <row r="1139" spans="4:16" x14ac:dyDescent="0.25"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P1139" s="6"/>
    </row>
    <row r="1140" spans="4:16" x14ac:dyDescent="0.25"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P1140" s="6"/>
    </row>
    <row r="1141" spans="4:16" x14ac:dyDescent="0.25"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P1141" s="6"/>
    </row>
    <row r="1142" spans="4:16" x14ac:dyDescent="0.25"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P1142" s="6"/>
    </row>
    <row r="1143" spans="4:16" x14ac:dyDescent="0.25"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P1143" s="6"/>
    </row>
    <row r="1144" spans="4:16" x14ac:dyDescent="0.25"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P1144" s="6"/>
    </row>
    <row r="1145" spans="4:16" x14ac:dyDescent="0.25"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P1145" s="6"/>
    </row>
    <row r="1146" spans="4:16" x14ac:dyDescent="0.25"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P1146" s="6"/>
    </row>
    <row r="1147" spans="4:16" x14ac:dyDescent="0.25"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P1147" s="6"/>
    </row>
    <row r="1148" spans="4:16" x14ac:dyDescent="0.25"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P1148" s="6"/>
    </row>
    <row r="1149" spans="4:16" x14ac:dyDescent="0.25"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P1149" s="6"/>
    </row>
    <row r="1150" spans="4:16" x14ac:dyDescent="0.25"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P1150" s="6"/>
    </row>
    <row r="1151" spans="4:16" x14ac:dyDescent="0.25"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P1151" s="6"/>
    </row>
    <row r="1152" spans="4:16" x14ac:dyDescent="0.25"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P1152" s="6"/>
    </row>
    <row r="1153" spans="4:16" x14ac:dyDescent="0.25"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P1153" s="6"/>
    </row>
    <row r="1154" spans="4:16" x14ac:dyDescent="0.25"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P1154" s="6"/>
    </row>
    <row r="1155" spans="4:16" x14ac:dyDescent="0.25"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P1155" s="6"/>
    </row>
    <row r="1156" spans="4:16" x14ac:dyDescent="0.25"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P1156" s="6"/>
    </row>
    <row r="1157" spans="4:16" x14ac:dyDescent="0.25"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P1157" s="6"/>
    </row>
    <row r="1158" spans="4:16" x14ac:dyDescent="0.25"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P1158" s="6"/>
    </row>
    <row r="1159" spans="4:16" x14ac:dyDescent="0.25"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P1159" s="6"/>
    </row>
    <row r="1160" spans="4:16" x14ac:dyDescent="0.25"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P1160" s="6"/>
    </row>
    <row r="1161" spans="4:16" x14ac:dyDescent="0.25"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P1161" s="6"/>
    </row>
    <row r="1162" spans="4:16" x14ac:dyDescent="0.25"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P1162" s="6"/>
    </row>
    <row r="1163" spans="4:16" x14ac:dyDescent="0.25"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P1163" s="6"/>
    </row>
    <row r="1164" spans="4:16" x14ac:dyDescent="0.25"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P1164" s="6"/>
    </row>
    <row r="1165" spans="4:16" x14ac:dyDescent="0.25"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P1165" s="6"/>
    </row>
    <row r="1166" spans="4:16" x14ac:dyDescent="0.25"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P1166" s="6"/>
    </row>
    <row r="1167" spans="4:16" x14ac:dyDescent="0.25"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P1167" s="6"/>
    </row>
    <row r="1168" spans="4:16" x14ac:dyDescent="0.25"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P1168" s="6"/>
    </row>
    <row r="1169" spans="4:16" x14ac:dyDescent="0.25"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P1169" s="6"/>
    </row>
    <row r="1170" spans="4:16" x14ac:dyDescent="0.25"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P1170" s="6"/>
    </row>
    <row r="1171" spans="4:16" x14ac:dyDescent="0.25"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P1171" s="6"/>
    </row>
    <row r="1172" spans="4:16" x14ac:dyDescent="0.25"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P1172" s="6"/>
    </row>
    <row r="1173" spans="4:16" x14ac:dyDescent="0.25"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P1173" s="6"/>
    </row>
    <row r="1174" spans="4:16" x14ac:dyDescent="0.25"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P1174" s="6"/>
    </row>
    <row r="1175" spans="4:16" x14ac:dyDescent="0.25"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P1175" s="6"/>
    </row>
    <row r="1176" spans="4:16" x14ac:dyDescent="0.25"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P1176" s="6"/>
    </row>
    <row r="1177" spans="4:16" x14ac:dyDescent="0.25"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P1177" s="6"/>
    </row>
    <row r="1178" spans="4:16" x14ac:dyDescent="0.25"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P1178" s="6"/>
    </row>
    <row r="1179" spans="4:16" x14ac:dyDescent="0.25"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P1179" s="6"/>
    </row>
    <row r="1180" spans="4:16" x14ac:dyDescent="0.25"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P1180" s="6"/>
    </row>
    <row r="1181" spans="4:16" x14ac:dyDescent="0.25"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P1181" s="6"/>
    </row>
    <row r="1182" spans="4:16" x14ac:dyDescent="0.25"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P1182" s="6"/>
    </row>
    <row r="1183" spans="4:16" x14ac:dyDescent="0.25"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P1183" s="6"/>
    </row>
    <row r="1184" spans="4:16" x14ac:dyDescent="0.25"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P1184" s="6"/>
    </row>
    <row r="1185" spans="4:16" x14ac:dyDescent="0.25"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P1185" s="6"/>
    </row>
    <row r="1186" spans="4:16" x14ac:dyDescent="0.25"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P1186" s="6"/>
    </row>
    <row r="1187" spans="4:16" x14ac:dyDescent="0.25"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P1187" s="6"/>
    </row>
    <row r="1188" spans="4:16" x14ac:dyDescent="0.25"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P1188" s="6"/>
    </row>
    <row r="1189" spans="4:16" x14ac:dyDescent="0.25"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P1189" s="6"/>
    </row>
    <row r="1190" spans="4:16" x14ac:dyDescent="0.25"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P1190" s="6"/>
    </row>
    <row r="1191" spans="4:16" x14ac:dyDescent="0.25"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P1191" s="6"/>
    </row>
    <row r="1192" spans="4:16" x14ac:dyDescent="0.25"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P1192" s="6"/>
    </row>
    <row r="1193" spans="4:16" x14ac:dyDescent="0.25"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P1193" s="6"/>
    </row>
    <row r="1194" spans="4:16" x14ac:dyDescent="0.25"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P1194" s="6"/>
    </row>
    <row r="1195" spans="4:16" x14ac:dyDescent="0.25"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P1195" s="6"/>
    </row>
    <row r="1196" spans="4:16" x14ac:dyDescent="0.25"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P1196" s="6"/>
    </row>
    <row r="1197" spans="4:16" x14ac:dyDescent="0.25"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P1197" s="6"/>
    </row>
    <row r="1198" spans="4:16" x14ac:dyDescent="0.25"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P1198" s="6"/>
    </row>
    <row r="1199" spans="4:16" x14ac:dyDescent="0.25"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P1199" s="6"/>
    </row>
    <row r="1200" spans="4:16" x14ac:dyDescent="0.25"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P1200" s="6"/>
    </row>
    <row r="1201" spans="4:16" x14ac:dyDescent="0.25"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P1201" s="6"/>
    </row>
    <row r="1202" spans="4:16" x14ac:dyDescent="0.25"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P1202" s="6"/>
    </row>
    <row r="1203" spans="4:16" x14ac:dyDescent="0.25"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P1203" s="6"/>
    </row>
    <row r="1204" spans="4:16" x14ac:dyDescent="0.25"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P1204" s="6"/>
    </row>
    <row r="1205" spans="4:16" x14ac:dyDescent="0.25"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P1205" s="6"/>
    </row>
    <row r="1206" spans="4:16" x14ac:dyDescent="0.25"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P1206" s="6"/>
    </row>
    <row r="1207" spans="4:16" x14ac:dyDescent="0.25"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P1207" s="6"/>
    </row>
    <row r="1208" spans="4:16" x14ac:dyDescent="0.25"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P1208" s="6"/>
    </row>
    <row r="1209" spans="4:16" x14ac:dyDescent="0.25"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P1209" s="6"/>
    </row>
    <row r="1210" spans="4:16" x14ac:dyDescent="0.25"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P1210" s="6"/>
    </row>
    <row r="1211" spans="4:16" x14ac:dyDescent="0.25"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P1211" s="6"/>
    </row>
    <row r="1212" spans="4:16" x14ac:dyDescent="0.25"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P1212" s="6"/>
    </row>
    <row r="1213" spans="4:16" x14ac:dyDescent="0.25"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P1213" s="6"/>
    </row>
    <row r="1214" spans="4:16" x14ac:dyDescent="0.25"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P1214" s="6"/>
    </row>
    <row r="1215" spans="4:16" x14ac:dyDescent="0.25"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P1215" s="6"/>
    </row>
    <row r="1216" spans="4:16" x14ac:dyDescent="0.25"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P1216" s="6"/>
    </row>
    <row r="1217" spans="4:16" x14ac:dyDescent="0.25"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P1217" s="6"/>
    </row>
    <row r="1218" spans="4:16" x14ac:dyDescent="0.25"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P1218" s="6"/>
    </row>
    <row r="1219" spans="4:16" x14ac:dyDescent="0.25"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P1219" s="6"/>
    </row>
    <row r="1220" spans="4:16" x14ac:dyDescent="0.25"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P1220" s="6"/>
    </row>
    <row r="1221" spans="4:16" x14ac:dyDescent="0.25"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P1221" s="6"/>
    </row>
    <row r="1222" spans="4:16" x14ac:dyDescent="0.25"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P1222" s="6"/>
    </row>
    <row r="1223" spans="4:16" x14ac:dyDescent="0.25"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P1223" s="6"/>
    </row>
    <row r="1224" spans="4:16" x14ac:dyDescent="0.25"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P1224" s="6"/>
    </row>
    <row r="1225" spans="4:16" x14ac:dyDescent="0.25"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P1225" s="6"/>
    </row>
    <row r="1226" spans="4:16" x14ac:dyDescent="0.25"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P1226" s="6"/>
    </row>
    <row r="1227" spans="4:16" x14ac:dyDescent="0.25"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P1227" s="6"/>
    </row>
    <row r="1228" spans="4:16" x14ac:dyDescent="0.25"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P1228" s="6"/>
    </row>
    <row r="1229" spans="4:16" x14ac:dyDescent="0.25"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P1229" s="6"/>
    </row>
    <row r="1230" spans="4:16" x14ac:dyDescent="0.25"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P1230" s="6"/>
    </row>
    <row r="1231" spans="4:16" x14ac:dyDescent="0.25"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P1231" s="6"/>
    </row>
    <row r="1232" spans="4:16" x14ac:dyDescent="0.25"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P1232" s="6"/>
    </row>
    <row r="1233" spans="4:16" x14ac:dyDescent="0.25"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P1233" s="6"/>
    </row>
    <row r="1234" spans="4:16" x14ac:dyDescent="0.25"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P1234" s="6"/>
    </row>
    <row r="1235" spans="4:16" x14ac:dyDescent="0.25"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P1235" s="6"/>
    </row>
    <row r="1236" spans="4:16" x14ac:dyDescent="0.25"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P1236" s="6"/>
    </row>
    <row r="1237" spans="4:16" x14ac:dyDescent="0.25"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P1237" s="6"/>
    </row>
    <row r="1238" spans="4:16" x14ac:dyDescent="0.25"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P1238" s="6"/>
    </row>
    <row r="1239" spans="4:16" x14ac:dyDescent="0.25"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P1239" s="6"/>
    </row>
    <row r="1240" spans="4:16" x14ac:dyDescent="0.25"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P1240" s="6"/>
    </row>
    <row r="1241" spans="4:16" x14ac:dyDescent="0.25"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P1241" s="6"/>
    </row>
    <row r="1242" spans="4:16" x14ac:dyDescent="0.25"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P1242" s="6"/>
    </row>
    <row r="1243" spans="4:16" x14ac:dyDescent="0.25"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P1243" s="6"/>
    </row>
    <row r="1244" spans="4:16" x14ac:dyDescent="0.25"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P1244" s="6"/>
    </row>
    <row r="1245" spans="4:16" x14ac:dyDescent="0.25"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P1245" s="6"/>
    </row>
    <row r="1246" spans="4:16" x14ac:dyDescent="0.25"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P1246" s="6"/>
    </row>
    <row r="1247" spans="4:16" x14ac:dyDescent="0.25"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P1247" s="6"/>
    </row>
    <row r="1248" spans="4:16" x14ac:dyDescent="0.25"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P1248" s="6"/>
    </row>
    <row r="1249" spans="4:16" x14ac:dyDescent="0.25"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P1249" s="6"/>
    </row>
    <row r="1250" spans="4:16" x14ac:dyDescent="0.25"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P1250" s="6"/>
    </row>
    <row r="1251" spans="4:16" x14ac:dyDescent="0.25"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P1251" s="6"/>
    </row>
    <row r="1252" spans="4:16" x14ac:dyDescent="0.25"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P1252" s="6"/>
    </row>
    <row r="1253" spans="4:16" x14ac:dyDescent="0.25"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P1253" s="6"/>
    </row>
    <row r="1254" spans="4:16" x14ac:dyDescent="0.25"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P1254" s="6"/>
    </row>
    <row r="1255" spans="4:16" x14ac:dyDescent="0.25"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P1255" s="6"/>
    </row>
    <row r="1256" spans="4:16" x14ac:dyDescent="0.25"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P1256" s="6"/>
    </row>
    <row r="1257" spans="4:16" x14ac:dyDescent="0.25"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P1257" s="6"/>
    </row>
    <row r="1258" spans="4:16" x14ac:dyDescent="0.25"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P1258" s="6"/>
    </row>
    <row r="1259" spans="4:16" x14ac:dyDescent="0.25"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P1259" s="6"/>
    </row>
    <row r="1260" spans="4:16" x14ac:dyDescent="0.25"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P1260" s="6"/>
    </row>
    <row r="1261" spans="4:16" x14ac:dyDescent="0.25"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P1261" s="6"/>
    </row>
    <row r="1262" spans="4:16" x14ac:dyDescent="0.25"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P1262" s="6"/>
    </row>
    <row r="1263" spans="4:16" x14ac:dyDescent="0.25"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P1263" s="6"/>
    </row>
    <row r="1264" spans="4:16" x14ac:dyDescent="0.25"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P1264" s="6"/>
    </row>
    <row r="1265" spans="4:16" x14ac:dyDescent="0.25"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P1265" s="6"/>
    </row>
    <row r="1266" spans="4:16" x14ac:dyDescent="0.25"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P1266" s="6"/>
    </row>
    <row r="1267" spans="4:16" x14ac:dyDescent="0.25"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P1267" s="6"/>
    </row>
    <row r="1268" spans="4:16" x14ac:dyDescent="0.25"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P1268" s="6"/>
    </row>
    <row r="1269" spans="4:16" x14ac:dyDescent="0.25"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P1269" s="6"/>
    </row>
    <row r="1270" spans="4:16" x14ac:dyDescent="0.25"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P1270" s="6"/>
    </row>
    <row r="1271" spans="4:16" x14ac:dyDescent="0.25"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P1271" s="6"/>
    </row>
    <row r="1272" spans="4:16" x14ac:dyDescent="0.25"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P1272" s="6"/>
    </row>
    <row r="1273" spans="4:16" x14ac:dyDescent="0.25"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P1273" s="6"/>
    </row>
    <row r="1274" spans="4:16" x14ac:dyDescent="0.25"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P1274" s="6"/>
    </row>
    <row r="1275" spans="4:16" x14ac:dyDescent="0.25"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P1275" s="6"/>
    </row>
    <row r="1276" spans="4:16" x14ac:dyDescent="0.25"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P1276" s="6"/>
    </row>
    <row r="1277" spans="4:16" x14ac:dyDescent="0.25"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P1277" s="6"/>
    </row>
    <row r="1278" spans="4:16" x14ac:dyDescent="0.25"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P1278" s="6"/>
    </row>
    <row r="1279" spans="4:16" x14ac:dyDescent="0.25"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P1279" s="6"/>
    </row>
    <row r="1280" spans="4:16" x14ac:dyDescent="0.25"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P1280" s="6"/>
    </row>
    <row r="1281" spans="4:16" x14ac:dyDescent="0.25"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P1281" s="6"/>
    </row>
    <row r="1282" spans="4:16" x14ac:dyDescent="0.25"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P1282" s="6"/>
    </row>
    <row r="1283" spans="4:16" x14ac:dyDescent="0.25"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P1283" s="6"/>
    </row>
    <row r="1284" spans="4:16" x14ac:dyDescent="0.25"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P1284" s="6"/>
    </row>
    <row r="1285" spans="4:16" x14ac:dyDescent="0.25"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P1285" s="6"/>
    </row>
    <row r="1286" spans="4:16" x14ac:dyDescent="0.25"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P1286" s="6"/>
    </row>
    <row r="1287" spans="4:16" x14ac:dyDescent="0.25"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P1287" s="6"/>
    </row>
    <row r="1288" spans="4:16" x14ac:dyDescent="0.25"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P1288" s="6"/>
    </row>
    <row r="1289" spans="4:16" x14ac:dyDescent="0.25"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P1289" s="6"/>
    </row>
    <row r="1290" spans="4:16" x14ac:dyDescent="0.25"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P1290" s="6"/>
    </row>
    <row r="1291" spans="4:16" x14ac:dyDescent="0.25"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P1291" s="6"/>
    </row>
    <row r="1292" spans="4:16" x14ac:dyDescent="0.25"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P1292" s="6"/>
    </row>
    <row r="1293" spans="4:16" x14ac:dyDescent="0.25"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P1293" s="6"/>
    </row>
    <row r="1294" spans="4:16" x14ac:dyDescent="0.25"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P1294" s="6"/>
    </row>
    <row r="1295" spans="4:16" x14ac:dyDescent="0.25"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P1295" s="6"/>
    </row>
    <row r="1296" spans="4:16" x14ac:dyDescent="0.25"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P1296" s="6"/>
    </row>
    <row r="1297" spans="4:16" x14ac:dyDescent="0.25"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P1297" s="6"/>
    </row>
    <row r="1298" spans="4:16" x14ac:dyDescent="0.25"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P1298" s="6"/>
    </row>
    <row r="1299" spans="4:16" x14ac:dyDescent="0.25"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P1299" s="6"/>
    </row>
    <row r="1300" spans="4:16" x14ac:dyDescent="0.25"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P1300" s="6"/>
    </row>
    <row r="1301" spans="4:16" x14ac:dyDescent="0.25"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P1301" s="6"/>
    </row>
    <row r="1302" spans="4:16" x14ac:dyDescent="0.25"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P1302" s="6"/>
    </row>
    <row r="1303" spans="4:16" x14ac:dyDescent="0.25"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P1303" s="6"/>
    </row>
    <row r="1304" spans="4:16" x14ac:dyDescent="0.25"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P1304" s="6"/>
    </row>
    <row r="1305" spans="4:16" x14ac:dyDescent="0.25"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P1305" s="6"/>
    </row>
    <row r="1306" spans="4:16" x14ac:dyDescent="0.25"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P1306" s="6"/>
    </row>
    <row r="1307" spans="4:16" x14ac:dyDescent="0.25"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P1307" s="6"/>
    </row>
    <row r="1308" spans="4:16" x14ac:dyDescent="0.25"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P1308" s="6"/>
    </row>
    <row r="1309" spans="4:16" x14ac:dyDescent="0.25"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P1309" s="6"/>
    </row>
    <row r="1310" spans="4:16" x14ac:dyDescent="0.25"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P1310" s="6"/>
    </row>
    <row r="1311" spans="4:16" x14ac:dyDescent="0.25"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P1311" s="6"/>
    </row>
    <row r="1312" spans="4:16" x14ac:dyDescent="0.25"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P1312" s="6"/>
    </row>
    <row r="1313" spans="4:16" x14ac:dyDescent="0.25"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P1313" s="6"/>
    </row>
    <row r="1314" spans="4:16" x14ac:dyDescent="0.25"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P1314" s="6"/>
    </row>
    <row r="1315" spans="4:16" x14ac:dyDescent="0.25"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P1315" s="6"/>
    </row>
    <row r="1316" spans="4:16" x14ac:dyDescent="0.25"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P1316" s="6"/>
    </row>
    <row r="1317" spans="4:16" x14ac:dyDescent="0.25"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P1317" s="6"/>
    </row>
    <row r="1318" spans="4:16" x14ac:dyDescent="0.25"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P1318" s="6"/>
    </row>
    <row r="1319" spans="4:16" x14ac:dyDescent="0.25"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P1319" s="6"/>
    </row>
    <row r="1320" spans="4:16" x14ac:dyDescent="0.25"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P1320" s="6"/>
    </row>
    <row r="1321" spans="4:16" x14ac:dyDescent="0.25"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P1321" s="6"/>
    </row>
    <row r="1322" spans="4:16" x14ac:dyDescent="0.25"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P1322" s="6"/>
    </row>
    <row r="1323" spans="4:16" x14ac:dyDescent="0.25"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P1323" s="6"/>
    </row>
    <row r="1324" spans="4:16" x14ac:dyDescent="0.25"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P1324" s="6"/>
    </row>
    <row r="1325" spans="4:16" x14ac:dyDescent="0.25"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P1325" s="6"/>
    </row>
    <row r="1326" spans="4:16" x14ac:dyDescent="0.25"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P1326" s="6"/>
    </row>
    <row r="1327" spans="4:16" x14ac:dyDescent="0.25"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P1327" s="6"/>
    </row>
    <row r="1328" spans="4:16" x14ac:dyDescent="0.25"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P1328" s="6"/>
    </row>
    <row r="1329" spans="4:16" x14ac:dyDescent="0.25"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P1329" s="6"/>
    </row>
    <row r="1330" spans="4:16" x14ac:dyDescent="0.25"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P1330" s="6"/>
    </row>
    <row r="1331" spans="4:16" x14ac:dyDescent="0.25"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P1331" s="6"/>
    </row>
    <row r="1332" spans="4:16" x14ac:dyDescent="0.25"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P1332" s="6"/>
    </row>
    <row r="1333" spans="4:16" x14ac:dyDescent="0.25"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P1333" s="6"/>
    </row>
    <row r="1334" spans="4:16" x14ac:dyDescent="0.25"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P1334" s="6"/>
    </row>
    <row r="1335" spans="4:16" x14ac:dyDescent="0.25"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P1335" s="6"/>
    </row>
    <row r="1336" spans="4:16" x14ac:dyDescent="0.25"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P1336" s="6"/>
    </row>
    <row r="1337" spans="4:16" x14ac:dyDescent="0.25"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P1337" s="6"/>
    </row>
    <row r="1338" spans="4:16" x14ac:dyDescent="0.25"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P1338" s="6"/>
    </row>
    <row r="1339" spans="4:16" x14ac:dyDescent="0.25"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P1339" s="6"/>
    </row>
    <row r="1340" spans="4:16" x14ac:dyDescent="0.25"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P1340" s="6"/>
    </row>
    <row r="1341" spans="4:16" x14ac:dyDescent="0.25"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P1341" s="6"/>
    </row>
    <row r="1342" spans="4:16" x14ac:dyDescent="0.25"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P1342" s="6"/>
    </row>
    <row r="1343" spans="4:16" x14ac:dyDescent="0.25"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P1343" s="6"/>
    </row>
    <row r="1344" spans="4:16" x14ac:dyDescent="0.25"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P1344" s="6"/>
    </row>
    <row r="1345" spans="4:16" x14ac:dyDescent="0.25"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P1345" s="6"/>
    </row>
    <row r="1346" spans="4:16" x14ac:dyDescent="0.25"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P1346" s="6"/>
    </row>
    <row r="1347" spans="4:16" x14ac:dyDescent="0.25"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P1347" s="6"/>
    </row>
    <row r="1348" spans="4:16" x14ac:dyDescent="0.25"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P1348" s="6"/>
    </row>
    <row r="1349" spans="4:16" x14ac:dyDescent="0.25"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P1349" s="6"/>
    </row>
    <row r="1350" spans="4:16" x14ac:dyDescent="0.25"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P1350" s="6"/>
    </row>
    <row r="1351" spans="4:16" x14ac:dyDescent="0.25"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P1351" s="6"/>
    </row>
    <row r="1352" spans="4:16" x14ac:dyDescent="0.25"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P1352" s="6"/>
    </row>
    <row r="1353" spans="4:16" x14ac:dyDescent="0.25"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P1353" s="6"/>
    </row>
    <row r="1354" spans="4:16" x14ac:dyDescent="0.25"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P1354" s="6"/>
    </row>
    <row r="1355" spans="4:16" x14ac:dyDescent="0.25"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P1355" s="6"/>
    </row>
    <row r="1356" spans="4:16" x14ac:dyDescent="0.25"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P1356" s="6"/>
    </row>
    <row r="1357" spans="4:16" x14ac:dyDescent="0.25"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P1357" s="6"/>
    </row>
    <row r="1358" spans="4:16" x14ac:dyDescent="0.25"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P1358" s="6"/>
    </row>
    <row r="1359" spans="4:16" x14ac:dyDescent="0.25"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P1359" s="6"/>
    </row>
    <row r="1360" spans="4:16" x14ac:dyDescent="0.25"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P1360" s="6"/>
    </row>
    <row r="1361" spans="4:16" x14ac:dyDescent="0.25"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P1361" s="6"/>
    </row>
    <row r="1362" spans="4:16" x14ac:dyDescent="0.25"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P1362" s="6"/>
    </row>
    <row r="1363" spans="4:16" x14ac:dyDescent="0.25"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P1363" s="6"/>
    </row>
    <row r="1364" spans="4:16" x14ac:dyDescent="0.25"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P1364" s="6"/>
    </row>
    <row r="1365" spans="4:16" x14ac:dyDescent="0.25"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P1365" s="6"/>
    </row>
    <row r="1366" spans="4:16" x14ac:dyDescent="0.25"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P1366" s="6"/>
    </row>
    <row r="1367" spans="4:16" x14ac:dyDescent="0.25"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P1367" s="6"/>
    </row>
    <row r="1368" spans="4:16" x14ac:dyDescent="0.25"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P1368" s="6"/>
    </row>
    <row r="1369" spans="4:16" x14ac:dyDescent="0.25"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P1369" s="6"/>
    </row>
    <row r="1370" spans="4:16" x14ac:dyDescent="0.25"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P1370" s="6"/>
    </row>
    <row r="1371" spans="4:16" x14ac:dyDescent="0.25"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P1371" s="6"/>
    </row>
    <row r="1372" spans="4:16" x14ac:dyDescent="0.25"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P1372" s="6"/>
    </row>
    <row r="1373" spans="4:16" x14ac:dyDescent="0.25"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P1373" s="6"/>
    </row>
    <row r="1374" spans="4:16" x14ac:dyDescent="0.25"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P1374" s="6"/>
    </row>
    <row r="1375" spans="4:16" x14ac:dyDescent="0.25"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P1375" s="6"/>
    </row>
    <row r="1376" spans="4:16" x14ac:dyDescent="0.25"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P1376" s="6"/>
    </row>
    <row r="1377" spans="4:16" x14ac:dyDescent="0.25"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P1377" s="6"/>
    </row>
    <row r="1378" spans="4:16" x14ac:dyDescent="0.25"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P1378" s="6"/>
    </row>
    <row r="1379" spans="4:16" x14ac:dyDescent="0.25"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P1379" s="6"/>
    </row>
    <row r="1380" spans="4:16" x14ac:dyDescent="0.25"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P1380" s="6"/>
    </row>
    <row r="1381" spans="4:16" x14ac:dyDescent="0.25"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P1381" s="6"/>
    </row>
    <row r="1382" spans="4:16" x14ac:dyDescent="0.25"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P1382" s="6"/>
    </row>
    <row r="1383" spans="4:16" x14ac:dyDescent="0.25"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P1383" s="6"/>
    </row>
    <row r="1384" spans="4:16" x14ac:dyDescent="0.25"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P1384" s="6"/>
    </row>
    <row r="1385" spans="4:16" x14ac:dyDescent="0.25"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P1385" s="6"/>
    </row>
    <row r="1386" spans="4:16" x14ac:dyDescent="0.25"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P1386" s="6"/>
    </row>
    <row r="1387" spans="4:16" x14ac:dyDescent="0.25"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P1387" s="6"/>
    </row>
    <row r="1388" spans="4:16" x14ac:dyDescent="0.25"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P1388" s="6"/>
    </row>
    <row r="1389" spans="4:16" x14ac:dyDescent="0.25"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P1389" s="6"/>
    </row>
    <row r="1390" spans="4:16" x14ac:dyDescent="0.25"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P1390" s="6"/>
    </row>
    <row r="1391" spans="4:16" x14ac:dyDescent="0.25"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P1391" s="6"/>
    </row>
    <row r="1392" spans="4:16" x14ac:dyDescent="0.25"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P1392" s="6"/>
    </row>
    <row r="1393" spans="4:16" x14ac:dyDescent="0.25"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P1393" s="6"/>
    </row>
    <row r="1394" spans="4:16" x14ac:dyDescent="0.25"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P1394" s="6"/>
    </row>
    <row r="1395" spans="4:16" x14ac:dyDescent="0.25"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P1395" s="6"/>
    </row>
    <row r="1396" spans="4:16" x14ac:dyDescent="0.25"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P1396" s="6"/>
    </row>
    <row r="1397" spans="4:16" x14ac:dyDescent="0.25"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P1397" s="6"/>
    </row>
    <row r="1398" spans="4:16" x14ac:dyDescent="0.25"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P1398" s="6"/>
    </row>
    <row r="1399" spans="4:16" x14ac:dyDescent="0.25"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P1399" s="6"/>
    </row>
    <row r="1400" spans="4:16" x14ac:dyDescent="0.25"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P1400" s="6"/>
    </row>
    <row r="1401" spans="4:16" x14ac:dyDescent="0.25"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P1401" s="6"/>
    </row>
    <row r="1402" spans="4:16" x14ac:dyDescent="0.25"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P1402" s="6"/>
    </row>
    <row r="1403" spans="4:16" x14ac:dyDescent="0.25"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P1403" s="6"/>
    </row>
    <row r="1404" spans="4:16" x14ac:dyDescent="0.25"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P1404" s="6"/>
    </row>
    <row r="1405" spans="4:16" x14ac:dyDescent="0.25"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P1405" s="6"/>
    </row>
    <row r="1406" spans="4:16" x14ac:dyDescent="0.25"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P1406" s="6"/>
    </row>
    <row r="1407" spans="4:16" x14ac:dyDescent="0.25"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P1407" s="6"/>
    </row>
    <row r="1408" spans="4:16" x14ac:dyDescent="0.25"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P1408" s="6"/>
    </row>
    <row r="1409" spans="4:16" x14ac:dyDescent="0.25"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P1409" s="6"/>
    </row>
    <row r="1410" spans="4:16" x14ac:dyDescent="0.25"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P1410" s="6"/>
    </row>
    <row r="1411" spans="4:16" x14ac:dyDescent="0.25"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P1411" s="6"/>
    </row>
    <row r="1412" spans="4:16" x14ac:dyDescent="0.25"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P1412" s="6"/>
    </row>
    <row r="1413" spans="4:16" x14ac:dyDescent="0.25"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P1413" s="6"/>
    </row>
    <row r="1414" spans="4:16" x14ac:dyDescent="0.25"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P1414" s="6"/>
    </row>
    <row r="1415" spans="4:16" x14ac:dyDescent="0.25"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P1415" s="6"/>
    </row>
    <row r="1416" spans="4:16" x14ac:dyDescent="0.25"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P1416" s="6"/>
    </row>
    <row r="1417" spans="4:16" x14ac:dyDescent="0.25"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P1417" s="6"/>
    </row>
    <row r="1418" spans="4:16" x14ac:dyDescent="0.25"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P1418" s="6"/>
    </row>
    <row r="1419" spans="4:16" x14ac:dyDescent="0.25"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P1419" s="6"/>
    </row>
    <row r="1420" spans="4:16" x14ac:dyDescent="0.25"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P1420" s="6"/>
    </row>
    <row r="1421" spans="4:16" x14ac:dyDescent="0.25"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P1421" s="6"/>
    </row>
    <row r="1422" spans="4:16" x14ac:dyDescent="0.25"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P1422" s="6"/>
    </row>
    <row r="1423" spans="4:16" x14ac:dyDescent="0.25"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P1423" s="6"/>
    </row>
    <row r="1424" spans="4:16" x14ac:dyDescent="0.25"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P1424" s="6"/>
    </row>
    <row r="1425" spans="4:16" x14ac:dyDescent="0.25"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P1425" s="6"/>
    </row>
    <row r="1426" spans="4:16" x14ac:dyDescent="0.25"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P1426" s="6"/>
    </row>
    <row r="1427" spans="4:16" x14ac:dyDescent="0.25"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P1427" s="6"/>
    </row>
    <row r="1428" spans="4:16" x14ac:dyDescent="0.25"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P1428" s="6"/>
    </row>
    <row r="1429" spans="4:16" x14ac:dyDescent="0.25"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P1429" s="6"/>
    </row>
    <row r="1430" spans="4:16" x14ac:dyDescent="0.25"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P1430" s="6"/>
    </row>
    <row r="1431" spans="4:16" x14ac:dyDescent="0.25"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P1431" s="6"/>
    </row>
    <row r="1432" spans="4:16" x14ac:dyDescent="0.25"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P1432" s="6"/>
    </row>
    <row r="1433" spans="4:16" x14ac:dyDescent="0.25"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P1433" s="6"/>
    </row>
    <row r="1434" spans="4:16" x14ac:dyDescent="0.25"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P1434" s="6"/>
    </row>
    <row r="1435" spans="4:16" x14ac:dyDescent="0.25"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P1435" s="6"/>
    </row>
    <row r="1436" spans="4:16" x14ac:dyDescent="0.25"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P1436" s="6"/>
    </row>
    <row r="1437" spans="4:16" x14ac:dyDescent="0.25"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P1437" s="6"/>
    </row>
    <row r="1438" spans="4:16" x14ac:dyDescent="0.25"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P1438" s="6"/>
    </row>
    <row r="1439" spans="4:16" x14ac:dyDescent="0.25"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P1439" s="6"/>
    </row>
    <row r="1440" spans="4:16" x14ac:dyDescent="0.25"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P1440" s="6"/>
    </row>
    <row r="1441" spans="4:16" x14ac:dyDescent="0.25"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P1441" s="6"/>
    </row>
    <row r="1442" spans="4:16" x14ac:dyDescent="0.25"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P1442" s="6"/>
    </row>
    <row r="1443" spans="4:16" x14ac:dyDescent="0.25"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P1443" s="6"/>
    </row>
    <row r="1444" spans="4:16" x14ac:dyDescent="0.25"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P1444" s="6"/>
    </row>
    <row r="1445" spans="4:16" x14ac:dyDescent="0.25"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P1445" s="6"/>
    </row>
    <row r="1446" spans="4:16" x14ac:dyDescent="0.25"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P1446" s="6"/>
    </row>
    <row r="1447" spans="4:16" x14ac:dyDescent="0.25"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P1447" s="6"/>
    </row>
    <row r="1448" spans="4:16" x14ac:dyDescent="0.25"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P1448" s="6"/>
    </row>
    <row r="1449" spans="4:16" x14ac:dyDescent="0.25"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P1449" s="6"/>
    </row>
    <row r="1450" spans="4:16" x14ac:dyDescent="0.25"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P1450" s="6"/>
    </row>
    <row r="1451" spans="4:16" x14ac:dyDescent="0.25"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P1451" s="6"/>
    </row>
    <row r="1452" spans="4:16" x14ac:dyDescent="0.25"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P1452" s="6"/>
    </row>
    <row r="1453" spans="4:16" x14ac:dyDescent="0.25"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P1453" s="6"/>
    </row>
    <row r="1454" spans="4:16" x14ac:dyDescent="0.25"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P1454" s="6"/>
    </row>
    <row r="1455" spans="4:16" x14ac:dyDescent="0.25"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P1455" s="6"/>
    </row>
    <row r="1456" spans="4:16" x14ac:dyDescent="0.25"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P1456" s="6"/>
    </row>
    <row r="1457" spans="4:16" x14ac:dyDescent="0.25"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P1457" s="6"/>
    </row>
    <row r="1458" spans="4:16" x14ac:dyDescent="0.25"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P1458" s="6"/>
    </row>
    <row r="1459" spans="4:16" x14ac:dyDescent="0.25"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P1459" s="6"/>
    </row>
    <row r="1460" spans="4:16" x14ac:dyDescent="0.25"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P1460" s="6"/>
    </row>
    <row r="1461" spans="4:16" x14ac:dyDescent="0.25"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P1461" s="6"/>
    </row>
    <row r="1462" spans="4:16" x14ac:dyDescent="0.25"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P1462" s="6"/>
    </row>
    <row r="1463" spans="4:16" x14ac:dyDescent="0.25"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P1463" s="6"/>
    </row>
    <row r="1464" spans="4:16" x14ac:dyDescent="0.25"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P1464" s="6"/>
    </row>
    <row r="1465" spans="4:16" x14ac:dyDescent="0.25"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P1465" s="6"/>
    </row>
    <row r="1466" spans="4:16" x14ac:dyDescent="0.25"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P1466" s="6"/>
    </row>
    <row r="1467" spans="4:16" x14ac:dyDescent="0.25"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P1467" s="6"/>
    </row>
    <row r="1468" spans="4:16" x14ac:dyDescent="0.25"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P1468" s="6"/>
    </row>
    <row r="1469" spans="4:16" x14ac:dyDescent="0.25"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P1469" s="6"/>
    </row>
    <row r="1470" spans="4:16" x14ac:dyDescent="0.25"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P1470" s="6"/>
    </row>
    <row r="1471" spans="4:16" x14ac:dyDescent="0.25"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P1471" s="6"/>
    </row>
    <row r="1472" spans="4:16" x14ac:dyDescent="0.25"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P1472" s="6"/>
    </row>
    <row r="1473" spans="4:16" x14ac:dyDescent="0.25"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P1473" s="6"/>
    </row>
    <row r="1474" spans="4:16" x14ac:dyDescent="0.25"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P1474" s="6"/>
    </row>
    <row r="1475" spans="4:16" x14ac:dyDescent="0.25"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P1475" s="6"/>
    </row>
    <row r="1476" spans="4:16" x14ac:dyDescent="0.25"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P1476" s="6"/>
    </row>
    <row r="1477" spans="4:16" x14ac:dyDescent="0.25"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P1477" s="6"/>
    </row>
    <row r="1478" spans="4:16" x14ac:dyDescent="0.25"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P1478" s="6"/>
    </row>
    <row r="1479" spans="4:16" x14ac:dyDescent="0.25"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P1479" s="6"/>
    </row>
    <row r="1480" spans="4:16" x14ac:dyDescent="0.25"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P1480" s="6"/>
    </row>
    <row r="1481" spans="4:16" x14ac:dyDescent="0.25"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P1481" s="6"/>
    </row>
    <row r="1482" spans="4:16" x14ac:dyDescent="0.25"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P1482" s="6"/>
    </row>
    <row r="1483" spans="4:16" x14ac:dyDescent="0.25"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P1483" s="6"/>
    </row>
    <row r="1484" spans="4:16" x14ac:dyDescent="0.25"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P1484" s="6"/>
    </row>
    <row r="1485" spans="4:16" x14ac:dyDescent="0.25"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P1485" s="6"/>
    </row>
    <row r="1486" spans="4:16" x14ac:dyDescent="0.25"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P1486" s="6"/>
    </row>
    <row r="1487" spans="4:16" x14ac:dyDescent="0.25"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P1487" s="6"/>
    </row>
    <row r="1488" spans="4:16" x14ac:dyDescent="0.25"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P1488" s="6"/>
    </row>
    <row r="1489" spans="4:16" x14ac:dyDescent="0.25"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P1489" s="6"/>
    </row>
    <row r="1490" spans="4:16" x14ac:dyDescent="0.25"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P1490" s="6"/>
    </row>
    <row r="1491" spans="4:16" x14ac:dyDescent="0.25"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P1491" s="6"/>
    </row>
    <row r="1492" spans="4:16" x14ac:dyDescent="0.25"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P1492" s="6"/>
    </row>
    <row r="1493" spans="4:16" x14ac:dyDescent="0.25"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P1493" s="6"/>
    </row>
    <row r="1494" spans="4:16" x14ac:dyDescent="0.25"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P1494" s="6"/>
    </row>
    <row r="1495" spans="4:16" x14ac:dyDescent="0.25"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P1495" s="6"/>
    </row>
    <row r="1496" spans="4:16" x14ac:dyDescent="0.25"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P1496" s="6"/>
    </row>
    <row r="1497" spans="4:16" x14ac:dyDescent="0.25"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P1497" s="6"/>
    </row>
    <row r="1498" spans="4:16" x14ac:dyDescent="0.25"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P1498" s="6"/>
    </row>
    <row r="1499" spans="4:16" x14ac:dyDescent="0.25"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P1499" s="6"/>
    </row>
    <row r="1500" spans="4:16" x14ac:dyDescent="0.25"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P1500" s="6"/>
    </row>
    <row r="1501" spans="4:16" x14ac:dyDescent="0.25"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P1501" s="6"/>
    </row>
    <row r="1502" spans="4:16" x14ac:dyDescent="0.25"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P1502" s="6"/>
    </row>
    <row r="1503" spans="4:16" x14ac:dyDescent="0.25"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P1503" s="6"/>
    </row>
    <row r="1504" spans="4:16" x14ac:dyDescent="0.25"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P1504" s="6"/>
    </row>
    <row r="1505" spans="4:16" x14ac:dyDescent="0.25"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P1505" s="6"/>
    </row>
    <row r="1506" spans="4:16" x14ac:dyDescent="0.25"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P1506" s="6"/>
    </row>
    <row r="1507" spans="4:16" x14ac:dyDescent="0.25"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P1507" s="6"/>
    </row>
    <row r="1508" spans="4:16" x14ac:dyDescent="0.25"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P1508" s="6"/>
    </row>
    <row r="1509" spans="4:16" x14ac:dyDescent="0.25"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P1509" s="6"/>
    </row>
    <row r="1510" spans="4:16" x14ac:dyDescent="0.25"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P1510" s="6"/>
    </row>
    <row r="1511" spans="4:16" x14ac:dyDescent="0.25"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P1511" s="6"/>
    </row>
    <row r="1512" spans="4:16" x14ac:dyDescent="0.25"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P1512" s="6"/>
    </row>
    <row r="1513" spans="4:16" x14ac:dyDescent="0.25"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P1513" s="6"/>
    </row>
    <row r="1514" spans="4:16" x14ac:dyDescent="0.25"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P1514" s="6"/>
    </row>
    <row r="1515" spans="4:16" x14ac:dyDescent="0.25"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P1515" s="6"/>
    </row>
    <row r="1516" spans="4:16" x14ac:dyDescent="0.25"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P1516" s="6"/>
    </row>
    <row r="1517" spans="4:16" x14ac:dyDescent="0.25"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P1517" s="6"/>
    </row>
    <row r="1518" spans="4:16" x14ac:dyDescent="0.25"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P1518" s="6"/>
    </row>
    <row r="1519" spans="4:16" x14ac:dyDescent="0.25"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P1519" s="6"/>
    </row>
    <row r="1520" spans="4:16" x14ac:dyDescent="0.25"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P1520" s="6"/>
    </row>
    <row r="1521" spans="4:16" x14ac:dyDescent="0.25"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P1521" s="6"/>
    </row>
    <row r="1522" spans="4:16" x14ac:dyDescent="0.25"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P1522" s="6"/>
    </row>
    <row r="1523" spans="4:16" x14ac:dyDescent="0.25"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P1523" s="6"/>
    </row>
    <row r="1524" spans="4:16" x14ac:dyDescent="0.25"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P1524" s="6"/>
    </row>
    <row r="1525" spans="4:16" x14ac:dyDescent="0.25"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P1525" s="6"/>
    </row>
    <row r="1526" spans="4:16" x14ac:dyDescent="0.25"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P1526" s="6"/>
    </row>
    <row r="1527" spans="4:16" x14ac:dyDescent="0.25"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P1527" s="6"/>
    </row>
    <row r="1528" spans="4:16" x14ac:dyDescent="0.25"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P1528" s="6"/>
    </row>
    <row r="1529" spans="4:16" x14ac:dyDescent="0.25"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P1529" s="6"/>
    </row>
    <row r="1530" spans="4:16" x14ac:dyDescent="0.25"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P1530" s="6"/>
    </row>
    <row r="1531" spans="4:16" x14ac:dyDescent="0.25"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P1531" s="6"/>
    </row>
    <row r="1532" spans="4:16" x14ac:dyDescent="0.25"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P1532" s="6"/>
    </row>
    <row r="1533" spans="4:16" x14ac:dyDescent="0.25"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P1533" s="6"/>
    </row>
    <row r="1534" spans="4:16" x14ac:dyDescent="0.25"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P1534" s="6"/>
    </row>
    <row r="1535" spans="4:16" x14ac:dyDescent="0.25"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P1535" s="6"/>
    </row>
    <row r="1536" spans="4:16" x14ac:dyDescent="0.25"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P1536" s="6"/>
    </row>
    <row r="1537" spans="4:16" x14ac:dyDescent="0.25"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P1537" s="6"/>
    </row>
    <row r="1538" spans="4:16" x14ac:dyDescent="0.25"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P1538" s="6"/>
    </row>
    <row r="1539" spans="4:16" x14ac:dyDescent="0.25"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P1539" s="6"/>
    </row>
    <row r="1540" spans="4:16" x14ac:dyDescent="0.25"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P1540" s="6"/>
    </row>
    <row r="1541" spans="4:16" x14ac:dyDescent="0.25"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P1541" s="6"/>
    </row>
    <row r="1542" spans="4:16" x14ac:dyDescent="0.25"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P1542" s="6"/>
    </row>
    <row r="1543" spans="4:16" x14ac:dyDescent="0.25"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P1543" s="6"/>
    </row>
    <row r="1544" spans="4:16" x14ac:dyDescent="0.25"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P1544" s="6"/>
    </row>
    <row r="1545" spans="4:16" x14ac:dyDescent="0.25"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P1545" s="6"/>
    </row>
    <row r="1546" spans="4:16" x14ac:dyDescent="0.25"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P1546" s="6"/>
    </row>
    <row r="1547" spans="4:16" x14ac:dyDescent="0.25"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P1547" s="6"/>
    </row>
    <row r="1548" spans="4:16" x14ac:dyDescent="0.25"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P1548" s="6"/>
    </row>
    <row r="1549" spans="4:16" x14ac:dyDescent="0.25"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P1549" s="6"/>
    </row>
    <row r="1550" spans="4:16" x14ac:dyDescent="0.25"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P1550" s="6"/>
    </row>
    <row r="1551" spans="4:16" x14ac:dyDescent="0.25"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P1551" s="6"/>
    </row>
    <row r="1552" spans="4:16" x14ac:dyDescent="0.25"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P1552" s="6"/>
    </row>
    <row r="1553" spans="4:16" x14ac:dyDescent="0.25"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P1553" s="6"/>
    </row>
    <row r="1554" spans="4:16" x14ac:dyDescent="0.25"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P1554" s="6"/>
    </row>
    <row r="1555" spans="4:16" x14ac:dyDescent="0.25"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P1555" s="6"/>
    </row>
    <row r="1556" spans="4:16" x14ac:dyDescent="0.25"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P1556" s="6"/>
    </row>
    <row r="1557" spans="4:16" x14ac:dyDescent="0.25"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P1557" s="6"/>
    </row>
    <row r="1558" spans="4:16" x14ac:dyDescent="0.25"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P1558" s="6"/>
    </row>
    <row r="1559" spans="4:16" x14ac:dyDescent="0.25"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P1559" s="6"/>
    </row>
    <row r="1560" spans="4:16" x14ac:dyDescent="0.25"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P1560" s="6"/>
    </row>
    <row r="1561" spans="4:16" x14ac:dyDescent="0.25"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P1561" s="6"/>
    </row>
    <row r="1562" spans="4:16" x14ac:dyDescent="0.25"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P1562" s="6"/>
    </row>
    <row r="1563" spans="4:16" x14ac:dyDescent="0.25"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P1563" s="6"/>
    </row>
    <row r="1564" spans="4:16" x14ac:dyDescent="0.25"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P1564" s="6"/>
    </row>
    <row r="1565" spans="4:16" x14ac:dyDescent="0.25"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P1565" s="6"/>
    </row>
    <row r="1566" spans="4:16" x14ac:dyDescent="0.25"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P1566" s="6"/>
    </row>
    <row r="1567" spans="4:16" x14ac:dyDescent="0.25"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P1567" s="6"/>
    </row>
    <row r="1568" spans="4:16" x14ac:dyDescent="0.25"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P1568" s="6"/>
    </row>
    <row r="1569" spans="4:16" x14ac:dyDescent="0.25"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P1569" s="6"/>
    </row>
    <row r="1570" spans="4:16" x14ac:dyDescent="0.25"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P1570" s="6"/>
    </row>
    <row r="1571" spans="4:16" x14ac:dyDescent="0.25"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P1571" s="6"/>
    </row>
    <row r="1572" spans="4:16" x14ac:dyDescent="0.25"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P1572" s="6"/>
    </row>
    <row r="1573" spans="4:16" x14ac:dyDescent="0.25"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P1573" s="6"/>
    </row>
    <row r="1574" spans="4:16" x14ac:dyDescent="0.25"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P1574" s="6"/>
    </row>
    <row r="1575" spans="4:16" x14ac:dyDescent="0.25"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P1575" s="6"/>
    </row>
    <row r="1576" spans="4:16" x14ac:dyDescent="0.25"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P1576" s="6"/>
    </row>
    <row r="1577" spans="4:16" x14ac:dyDescent="0.25"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P1577" s="6"/>
    </row>
    <row r="1578" spans="4:16" x14ac:dyDescent="0.25"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P1578" s="6"/>
    </row>
    <row r="1579" spans="4:16" x14ac:dyDescent="0.25"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P1579" s="6"/>
    </row>
    <row r="1580" spans="4:16" x14ac:dyDescent="0.25"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P1580" s="6"/>
    </row>
    <row r="1581" spans="4:16" x14ac:dyDescent="0.25"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P1581" s="6"/>
    </row>
    <row r="1582" spans="4:16" x14ac:dyDescent="0.25"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P1582" s="6"/>
    </row>
    <row r="1583" spans="4:16" x14ac:dyDescent="0.25"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P1583" s="6"/>
    </row>
    <row r="1584" spans="4:16" x14ac:dyDescent="0.25"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P1584" s="6"/>
    </row>
    <row r="1585" spans="4:16" x14ac:dyDescent="0.25"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P1585" s="6"/>
    </row>
    <row r="1586" spans="4:16" x14ac:dyDescent="0.25"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P1586" s="6"/>
    </row>
    <row r="1587" spans="4:16" x14ac:dyDescent="0.25"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P1587" s="6"/>
    </row>
    <row r="1588" spans="4:16" x14ac:dyDescent="0.25"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P1588" s="6"/>
    </row>
    <row r="1589" spans="4:16" x14ac:dyDescent="0.25"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P1589" s="6"/>
    </row>
    <row r="1590" spans="4:16" x14ac:dyDescent="0.25"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P1590" s="6"/>
    </row>
    <row r="1591" spans="4:16" x14ac:dyDescent="0.25"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P1591" s="6"/>
    </row>
    <row r="1592" spans="4:16" x14ac:dyDescent="0.25"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P1592" s="6"/>
    </row>
    <row r="1593" spans="4:16" x14ac:dyDescent="0.25"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P1593" s="6"/>
    </row>
    <row r="1594" spans="4:16" x14ac:dyDescent="0.25"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P1594" s="6"/>
    </row>
    <row r="1595" spans="4:16" x14ac:dyDescent="0.25"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P1595" s="6"/>
    </row>
    <row r="1596" spans="4:16" x14ac:dyDescent="0.25"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P1596" s="6"/>
    </row>
    <row r="1597" spans="4:16" x14ac:dyDescent="0.25"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P1597" s="6"/>
    </row>
    <row r="1598" spans="4:16" x14ac:dyDescent="0.25"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P1598" s="6"/>
    </row>
    <row r="1599" spans="4:16" x14ac:dyDescent="0.25"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P1599" s="6"/>
    </row>
    <row r="1600" spans="4:16" x14ac:dyDescent="0.25"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P1600" s="6"/>
    </row>
    <row r="1601" spans="4:16" x14ac:dyDescent="0.25"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P1601" s="6"/>
    </row>
    <row r="1602" spans="4:16" x14ac:dyDescent="0.25"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P1602" s="6"/>
    </row>
    <row r="1603" spans="4:16" x14ac:dyDescent="0.25"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P1603" s="6"/>
    </row>
    <row r="1604" spans="4:16" x14ac:dyDescent="0.25"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P1604" s="6"/>
    </row>
    <row r="1605" spans="4:16" x14ac:dyDescent="0.25"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P1605" s="6"/>
    </row>
    <row r="1606" spans="4:16" x14ac:dyDescent="0.25"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P1606" s="6"/>
    </row>
    <row r="1607" spans="4:16" x14ac:dyDescent="0.25"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P1607" s="6"/>
    </row>
    <row r="1608" spans="4:16" x14ac:dyDescent="0.25"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P1608" s="6"/>
    </row>
    <row r="1609" spans="4:16" x14ac:dyDescent="0.25"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P1609" s="6"/>
    </row>
    <row r="1610" spans="4:16" x14ac:dyDescent="0.25"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P1610" s="6"/>
    </row>
    <row r="1611" spans="4:16" x14ac:dyDescent="0.25"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P1611" s="6"/>
    </row>
    <row r="1612" spans="4:16" x14ac:dyDescent="0.25"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P1612" s="6"/>
    </row>
    <row r="1613" spans="4:16" x14ac:dyDescent="0.25"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P1613" s="6"/>
    </row>
    <row r="1614" spans="4:16" x14ac:dyDescent="0.25"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P1614" s="6"/>
    </row>
    <row r="1615" spans="4:16" x14ac:dyDescent="0.25"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P1615" s="6"/>
    </row>
    <row r="1616" spans="4:16" x14ac:dyDescent="0.25"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P1616" s="6"/>
    </row>
    <row r="1617" spans="4:16" x14ac:dyDescent="0.25"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P1617" s="6"/>
    </row>
    <row r="1618" spans="4:16" x14ac:dyDescent="0.25"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P1618" s="6"/>
    </row>
    <row r="1619" spans="4:16" x14ac:dyDescent="0.25"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P1619" s="6"/>
    </row>
    <row r="1620" spans="4:16" x14ac:dyDescent="0.25"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P1620" s="6"/>
    </row>
    <row r="1621" spans="4:16" x14ac:dyDescent="0.25"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P1621" s="6"/>
    </row>
    <row r="1622" spans="4:16" x14ac:dyDescent="0.25"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P1622" s="6"/>
    </row>
    <row r="1623" spans="4:16" x14ac:dyDescent="0.25"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P1623" s="6"/>
    </row>
    <row r="1624" spans="4:16" x14ac:dyDescent="0.25"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P1624" s="6"/>
    </row>
    <row r="1625" spans="4:16" x14ac:dyDescent="0.25"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P1625" s="6"/>
    </row>
    <row r="1626" spans="4:16" x14ac:dyDescent="0.25"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P1626" s="6"/>
    </row>
    <row r="1627" spans="4:16" x14ac:dyDescent="0.25"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P1627" s="6"/>
    </row>
    <row r="1628" spans="4:16" x14ac:dyDescent="0.25"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P1628" s="6"/>
    </row>
    <row r="1629" spans="4:16" x14ac:dyDescent="0.25"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P1629" s="6"/>
    </row>
    <row r="1630" spans="4:16" x14ac:dyDescent="0.25"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P1630" s="6"/>
    </row>
    <row r="1631" spans="4:16" x14ac:dyDescent="0.25"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P1631" s="6"/>
    </row>
    <row r="1632" spans="4:16" x14ac:dyDescent="0.25"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P1632" s="6"/>
    </row>
    <row r="1633" spans="4:16" x14ac:dyDescent="0.25"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P1633" s="6"/>
    </row>
    <row r="1634" spans="4:16" x14ac:dyDescent="0.25"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P1634" s="6"/>
    </row>
    <row r="1635" spans="4:16" x14ac:dyDescent="0.25"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P1635" s="6"/>
    </row>
    <row r="1636" spans="4:16" x14ac:dyDescent="0.25"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P1636" s="6"/>
    </row>
    <row r="1637" spans="4:16" x14ac:dyDescent="0.25"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P1637" s="6"/>
    </row>
    <row r="1638" spans="4:16" x14ac:dyDescent="0.25"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P1638" s="6"/>
    </row>
    <row r="1639" spans="4:16" x14ac:dyDescent="0.25"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P1639" s="6"/>
    </row>
    <row r="1640" spans="4:16" x14ac:dyDescent="0.25"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P1640" s="6"/>
    </row>
    <row r="1641" spans="4:16" x14ac:dyDescent="0.25"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P1641" s="6"/>
    </row>
    <row r="1642" spans="4:16" x14ac:dyDescent="0.25"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P1642" s="6"/>
    </row>
    <row r="1643" spans="4:16" x14ac:dyDescent="0.25"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P1643" s="6"/>
    </row>
    <row r="1644" spans="4:16" x14ac:dyDescent="0.25"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P1644" s="6"/>
    </row>
    <row r="1645" spans="4:16" x14ac:dyDescent="0.25"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P1645" s="6"/>
    </row>
    <row r="1646" spans="4:16" x14ac:dyDescent="0.25"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P1646" s="6"/>
    </row>
    <row r="1647" spans="4:16" x14ac:dyDescent="0.25"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P1647" s="6"/>
    </row>
    <row r="1648" spans="4:16" x14ac:dyDescent="0.25"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P1648" s="6"/>
    </row>
    <row r="1649" spans="4:16" x14ac:dyDescent="0.25"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P1649" s="6"/>
    </row>
    <row r="1650" spans="4:16" x14ac:dyDescent="0.25"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P1650" s="6"/>
    </row>
    <row r="1651" spans="4:16" x14ac:dyDescent="0.25"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P1651" s="6"/>
    </row>
    <row r="1652" spans="4:16" x14ac:dyDescent="0.25"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P1652" s="6"/>
    </row>
    <row r="1653" spans="4:16" x14ac:dyDescent="0.25"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P1653" s="6"/>
    </row>
    <row r="1654" spans="4:16" x14ac:dyDescent="0.25"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P1654" s="6"/>
    </row>
    <row r="1655" spans="4:16" x14ac:dyDescent="0.25"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P1655" s="6"/>
    </row>
    <row r="1656" spans="4:16" x14ac:dyDescent="0.25"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P1656" s="6"/>
    </row>
    <row r="1657" spans="4:16" x14ac:dyDescent="0.25"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P1657" s="6"/>
    </row>
    <row r="1658" spans="4:16" x14ac:dyDescent="0.25"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P1658" s="6"/>
    </row>
    <row r="1659" spans="4:16" x14ac:dyDescent="0.25"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P1659" s="6"/>
    </row>
    <row r="1660" spans="4:16" x14ac:dyDescent="0.25"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P1660" s="6"/>
    </row>
    <row r="1661" spans="4:16" x14ac:dyDescent="0.25"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P1661" s="6"/>
    </row>
    <row r="1662" spans="4:16" x14ac:dyDescent="0.25"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P1662" s="6"/>
    </row>
    <row r="1663" spans="4:16" x14ac:dyDescent="0.25"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P1663" s="6"/>
    </row>
    <row r="1664" spans="4:16" x14ac:dyDescent="0.25"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P1664" s="6"/>
    </row>
    <row r="1665" spans="4:16" x14ac:dyDescent="0.25"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P1665" s="6"/>
    </row>
    <row r="1666" spans="4:16" x14ac:dyDescent="0.25"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P1666" s="6"/>
    </row>
    <row r="1667" spans="4:16" x14ac:dyDescent="0.25"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P1667" s="6"/>
    </row>
    <row r="1668" spans="4:16" x14ac:dyDescent="0.25"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P1668" s="6"/>
    </row>
    <row r="1669" spans="4:16" x14ac:dyDescent="0.25"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P1669" s="6"/>
    </row>
    <row r="1670" spans="4:16" x14ac:dyDescent="0.25"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P1670" s="6"/>
    </row>
    <row r="1671" spans="4:16" x14ac:dyDescent="0.25"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P1671" s="6"/>
    </row>
    <row r="1672" spans="4:16" x14ac:dyDescent="0.25"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P1672" s="6"/>
    </row>
    <row r="1673" spans="4:16" x14ac:dyDescent="0.25"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P1673" s="6"/>
    </row>
    <row r="1674" spans="4:16" x14ac:dyDescent="0.25"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P1674" s="6"/>
    </row>
    <row r="1675" spans="4:16" x14ac:dyDescent="0.25"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P1675" s="6"/>
    </row>
    <row r="1676" spans="4:16" x14ac:dyDescent="0.25"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P1676" s="6"/>
    </row>
    <row r="1677" spans="4:16" x14ac:dyDescent="0.25"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P1677" s="6"/>
    </row>
    <row r="1678" spans="4:16" x14ac:dyDescent="0.25"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P1678" s="6"/>
    </row>
    <row r="1679" spans="4:16" x14ac:dyDescent="0.25"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P1679" s="6"/>
    </row>
    <row r="1680" spans="4:16" x14ac:dyDescent="0.25"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P1680" s="6"/>
    </row>
    <row r="1681" spans="4:16" x14ac:dyDescent="0.25"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P1681" s="6"/>
    </row>
    <row r="1682" spans="4:16" x14ac:dyDescent="0.25"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P1682" s="6"/>
    </row>
    <row r="1683" spans="4:16" x14ac:dyDescent="0.25"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P1683" s="6"/>
    </row>
    <row r="1684" spans="4:16" x14ac:dyDescent="0.25"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P1684" s="6"/>
    </row>
    <row r="1685" spans="4:16" x14ac:dyDescent="0.25"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P1685" s="6"/>
    </row>
    <row r="1686" spans="4:16" x14ac:dyDescent="0.25"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P1686" s="6"/>
    </row>
    <row r="1687" spans="4:16" x14ac:dyDescent="0.25"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P1687" s="6"/>
    </row>
    <row r="1688" spans="4:16" x14ac:dyDescent="0.25"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P1688" s="6"/>
    </row>
    <row r="1689" spans="4:16" x14ac:dyDescent="0.25"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P1689" s="6"/>
    </row>
    <row r="1690" spans="4:16" x14ac:dyDescent="0.25"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P1690" s="6"/>
    </row>
    <row r="1691" spans="4:16" x14ac:dyDescent="0.25"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P1691" s="6"/>
    </row>
    <row r="1692" spans="4:16" x14ac:dyDescent="0.25"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P1692" s="6"/>
    </row>
    <row r="1693" spans="4:16" x14ac:dyDescent="0.25"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P1693" s="6"/>
    </row>
    <row r="1694" spans="4:16" x14ac:dyDescent="0.25"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P1694" s="6"/>
    </row>
    <row r="1695" spans="4:16" x14ac:dyDescent="0.25"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P1695" s="6"/>
    </row>
    <row r="1696" spans="4:16" x14ac:dyDescent="0.25"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P1696" s="6"/>
    </row>
    <row r="1697" spans="4:16" x14ac:dyDescent="0.25"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P1697" s="6"/>
    </row>
    <row r="1698" spans="4:16" x14ac:dyDescent="0.25"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P1698" s="6"/>
    </row>
    <row r="1699" spans="4:16" x14ac:dyDescent="0.25"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P1699" s="6"/>
    </row>
    <row r="1700" spans="4:16" x14ac:dyDescent="0.25"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P1700" s="6"/>
    </row>
    <row r="1701" spans="4:16" x14ac:dyDescent="0.25"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P1701" s="6"/>
    </row>
    <row r="1702" spans="4:16" x14ac:dyDescent="0.25"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P1702" s="6"/>
    </row>
    <row r="1703" spans="4:16" x14ac:dyDescent="0.25"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P1703" s="6"/>
    </row>
    <row r="1704" spans="4:16" x14ac:dyDescent="0.25"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P1704" s="6"/>
    </row>
    <row r="1705" spans="4:16" x14ac:dyDescent="0.25"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P1705" s="6"/>
    </row>
    <row r="1706" spans="4:16" x14ac:dyDescent="0.25"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P1706" s="6"/>
    </row>
    <row r="1707" spans="4:16" x14ac:dyDescent="0.25"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P1707" s="6"/>
    </row>
    <row r="1708" spans="4:16" x14ac:dyDescent="0.25"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P1708" s="6"/>
    </row>
    <row r="1709" spans="4:16" x14ac:dyDescent="0.25"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P1709" s="6"/>
    </row>
    <row r="1710" spans="4:16" x14ac:dyDescent="0.25"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P1710" s="6"/>
    </row>
    <row r="1711" spans="4:16" x14ac:dyDescent="0.25"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P1711" s="6"/>
    </row>
    <row r="1712" spans="4:16" x14ac:dyDescent="0.25"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P1712" s="6"/>
    </row>
    <row r="1713" spans="4:16" x14ac:dyDescent="0.25"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P1713" s="6"/>
    </row>
    <row r="1714" spans="4:16" x14ac:dyDescent="0.25"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P1714" s="6"/>
    </row>
    <row r="1715" spans="4:16" x14ac:dyDescent="0.25"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P1715" s="6"/>
    </row>
    <row r="1716" spans="4:16" x14ac:dyDescent="0.25"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P1716" s="6"/>
    </row>
    <row r="1717" spans="4:16" x14ac:dyDescent="0.25"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P1717" s="6"/>
    </row>
    <row r="1718" spans="4:16" x14ac:dyDescent="0.25"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P1718" s="6"/>
    </row>
    <row r="1719" spans="4:16" x14ac:dyDescent="0.25"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P1719" s="6"/>
    </row>
    <row r="1720" spans="4:16" x14ac:dyDescent="0.25"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P1720" s="6"/>
    </row>
    <row r="1721" spans="4:16" x14ac:dyDescent="0.25"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P1721" s="6"/>
    </row>
    <row r="1722" spans="4:16" x14ac:dyDescent="0.25"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P1722" s="6"/>
    </row>
    <row r="1723" spans="4:16" x14ac:dyDescent="0.25"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P1723" s="6"/>
    </row>
    <row r="1724" spans="4:16" x14ac:dyDescent="0.25"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P1724" s="6"/>
    </row>
    <row r="1725" spans="4:16" x14ac:dyDescent="0.25"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P1725" s="6"/>
    </row>
    <row r="1726" spans="4:16" x14ac:dyDescent="0.25"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P1726" s="6"/>
    </row>
    <row r="1727" spans="4:16" x14ac:dyDescent="0.25"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P1727" s="6"/>
    </row>
    <row r="1728" spans="4:16" x14ac:dyDescent="0.25"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P1728" s="6"/>
    </row>
    <row r="1729" spans="4:16" x14ac:dyDescent="0.25"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P1729" s="6"/>
    </row>
    <row r="1730" spans="4:16" x14ac:dyDescent="0.25"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P1730" s="6"/>
    </row>
    <row r="1731" spans="4:16" x14ac:dyDescent="0.25"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P1731" s="6"/>
    </row>
    <row r="1732" spans="4:16" x14ac:dyDescent="0.25"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P1732" s="6"/>
    </row>
    <row r="1733" spans="4:16" x14ac:dyDescent="0.25"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P1733" s="6"/>
    </row>
    <row r="1734" spans="4:16" x14ac:dyDescent="0.25"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P1734" s="6"/>
    </row>
    <row r="1735" spans="4:16" x14ac:dyDescent="0.25"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P1735" s="6"/>
    </row>
    <row r="1736" spans="4:16" x14ac:dyDescent="0.25"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P1736" s="6"/>
    </row>
    <row r="1737" spans="4:16" x14ac:dyDescent="0.25"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P1737" s="6"/>
    </row>
    <row r="1738" spans="4:16" x14ac:dyDescent="0.25"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P1738" s="6"/>
    </row>
    <row r="1739" spans="4:16" x14ac:dyDescent="0.25"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P1739" s="6"/>
    </row>
    <row r="1740" spans="4:16" x14ac:dyDescent="0.25"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P1740" s="6"/>
    </row>
    <row r="1741" spans="4:16" x14ac:dyDescent="0.25"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P1741" s="6"/>
    </row>
    <row r="1742" spans="4:16" x14ac:dyDescent="0.25"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P1742" s="6"/>
    </row>
    <row r="1743" spans="4:16" x14ac:dyDescent="0.25"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P1743" s="6"/>
    </row>
    <row r="1744" spans="4:16" x14ac:dyDescent="0.25"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P1744" s="6"/>
    </row>
    <row r="1745" spans="4:16" x14ac:dyDescent="0.25"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P1745" s="6"/>
    </row>
    <row r="1746" spans="4:16" x14ac:dyDescent="0.25"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P1746" s="6"/>
    </row>
    <row r="1747" spans="4:16" x14ac:dyDescent="0.25"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P1747" s="6"/>
    </row>
    <row r="1748" spans="4:16" x14ac:dyDescent="0.25"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P1748" s="6"/>
    </row>
    <row r="1749" spans="4:16" x14ac:dyDescent="0.25"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P1749" s="6"/>
    </row>
    <row r="1750" spans="4:16" x14ac:dyDescent="0.25"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P1750" s="6"/>
    </row>
    <row r="1751" spans="4:16" x14ac:dyDescent="0.25"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P1751" s="6"/>
    </row>
    <row r="1752" spans="4:16" x14ac:dyDescent="0.25"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P1752" s="6"/>
    </row>
    <row r="1753" spans="4:16" x14ac:dyDescent="0.25"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P1753" s="6"/>
    </row>
    <row r="1754" spans="4:16" x14ac:dyDescent="0.25"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P1754" s="6"/>
    </row>
    <row r="1755" spans="4:16" x14ac:dyDescent="0.25"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P1755" s="6"/>
    </row>
    <row r="1756" spans="4:16" x14ac:dyDescent="0.25"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P1756" s="6"/>
    </row>
    <row r="1757" spans="4:16" x14ac:dyDescent="0.25"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P1757" s="6"/>
    </row>
    <row r="1758" spans="4:16" x14ac:dyDescent="0.25"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P1758" s="6"/>
    </row>
    <row r="1759" spans="4:16" x14ac:dyDescent="0.25"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P1759" s="6"/>
    </row>
    <row r="1760" spans="4:16" x14ac:dyDescent="0.25"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P1760" s="6"/>
    </row>
    <row r="1761" spans="4:16" x14ac:dyDescent="0.25"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P1761" s="6"/>
    </row>
    <row r="1762" spans="4:16" x14ac:dyDescent="0.25"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P1762" s="6"/>
    </row>
    <row r="1763" spans="4:16" x14ac:dyDescent="0.25"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P1763" s="6"/>
    </row>
    <row r="1764" spans="4:16" x14ac:dyDescent="0.25"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P1764" s="6"/>
    </row>
    <row r="1765" spans="4:16" x14ac:dyDescent="0.25"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P1765" s="6"/>
    </row>
    <row r="1766" spans="4:16" x14ac:dyDescent="0.25"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P1766" s="6"/>
    </row>
    <row r="1767" spans="4:16" x14ac:dyDescent="0.25"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P1767" s="6"/>
    </row>
    <row r="1768" spans="4:16" x14ac:dyDescent="0.25"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P1768" s="6"/>
    </row>
    <row r="1769" spans="4:16" x14ac:dyDescent="0.25"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P1769" s="6"/>
    </row>
    <row r="1770" spans="4:16" x14ac:dyDescent="0.25"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P1770" s="6"/>
    </row>
    <row r="1771" spans="4:16" x14ac:dyDescent="0.25"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P1771" s="6"/>
    </row>
    <row r="1772" spans="4:16" x14ac:dyDescent="0.25"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P1772" s="6"/>
    </row>
    <row r="1773" spans="4:16" x14ac:dyDescent="0.25"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P1773" s="6"/>
    </row>
    <row r="1774" spans="4:16" x14ac:dyDescent="0.25"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P1774" s="6"/>
    </row>
    <row r="1775" spans="4:16" x14ac:dyDescent="0.25"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P1775" s="6"/>
    </row>
    <row r="1776" spans="4:16" x14ac:dyDescent="0.25"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P1776" s="6"/>
    </row>
    <row r="1777" spans="4:16" x14ac:dyDescent="0.25"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P1777" s="6"/>
    </row>
    <row r="1778" spans="4:16" x14ac:dyDescent="0.25"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P1778" s="6"/>
    </row>
    <row r="1779" spans="4:16" x14ac:dyDescent="0.25"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P1779" s="6"/>
    </row>
    <row r="1780" spans="4:16" x14ac:dyDescent="0.25"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P1780" s="6"/>
    </row>
    <row r="1781" spans="4:16" x14ac:dyDescent="0.25"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P1781" s="6"/>
    </row>
    <row r="1782" spans="4:16" x14ac:dyDescent="0.25"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P1782" s="6"/>
    </row>
    <row r="1783" spans="4:16" x14ac:dyDescent="0.25"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P1783" s="6"/>
    </row>
    <row r="1784" spans="4:16" x14ac:dyDescent="0.25"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P1784" s="6"/>
    </row>
    <row r="1785" spans="4:16" x14ac:dyDescent="0.25"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P1785" s="6"/>
    </row>
    <row r="1786" spans="4:16" x14ac:dyDescent="0.25"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P1786" s="6"/>
    </row>
    <row r="1787" spans="4:16" x14ac:dyDescent="0.25"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P1787" s="6"/>
    </row>
    <row r="1788" spans="4:16" x14ac:dyDescent="0.25"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P1788" s="6"/>
    </row>
    <row r="1789" spans="4:16" x14ac:dyDescent="0.25"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P1789" s="6"/>
    </row>
    <row r="1790" spans="4:16" x14ac:dyDescent="0.25"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P1790" s="6"/>
    </row>
    <row r="1791" spans="4:16" x14ac:dyDescent="0.25"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P1791" s="6"/>
    </row>
    <row r="1792" spans="4:16" x14ac:dyDescent="0.25"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P1792" s="6"/>
    </row>
    <row r="1793" spans="4:16" x14ac:dyDescent="0.25"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P1793" s="6"/>
    </row>
    <row r="1794" spans="4:16" x14ac:dyDescent="0.25"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P1794" s="6"/>
    </row>
    <row r="1795" spans="4:16" x14ac:dyDescent="0.25"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P1795" s="6"/>
    </row>
    <row r="1796" spans="4:16" x14ac:dyDescent="0.25"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P1796" s="6"/>
    </row>
    <row r="1797" spans="4:16" x14ac:dyDescent="0.25"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P1797" s="6"/>
    </row>
    <row r="1798" spans="4:16" x14ac:dyDescent="0.25"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P1798" s="6"/>
    </row>
    <row r="1799" spans="4:16" x14ac:dyDescent="0.25"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P1799" s="6"/>
    </row>
    <row r="1800" spans="4:16" x14ac:dyDescent="0.25"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P1800" s="6"/>
    </row>
    <row r="1801" spans="4:16" x14ac:dyDescent="0.25"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P1801" s="6"/>
    </row>
    <row r="1802" spans="4:16" x14ac:dyDescent="0.25"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P1802" s="6"/>
    </row>
    <row r="1803" spans="4:16" x14ac:dyDescent="0.25"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P1803" s="6"/>
    </row>
    <row r="1804" spans="4:16" x14ac:dyDescent="0.25"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P1804" s="6"/>
    </row>
    <row r="1805" spans="4:16" x14ac:dyDescent="0.25"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P1805" s="6"/>
    </row>
    <row r="1806" spans="4:16" x14ac:dyDescent="0.25"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P1806" s="6"/>
    </row>
    <row r="1807" spans="4:16" x14ac:dyDescent="0.25"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P1807" s="6"/>
    </row>
    <row r="1808" spans="4:16" x14ac:dyDescent="0.25"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P1808" s="6"/>
    </row>
    <row r="1809" spans="4:16" x14ac:dyDescent="0.25"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P1809" s="6"/>
    </row>
    <row r="1810" spans="4:16" x14ac:dyDescent="0.25"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P1810" s="6"/>
    </row>
    <row r="1811" spans="4:16" x14ac:dyDescent="0.25"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P1811" s="6"/>
    </row>
    <row r="1812" spans="4:16" x14ac:dyDescent="0.25"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P1812" s="6"/>
    </row>
    <row r="1813" spans="4:16" x14ac:dyDescent="0.25"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P1813" s="6"/>
    </row>
    <row r="1814" spans="4:16" x14ac:dyDescent="0.25"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P1814" s="6"/>
    </row>
    <row r="1815" spans="4:16" x14ac:dyDescent="0.25"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P1815" s="6"/>
    </row>
    <row r="1816" spans="4:16" x14ac:dyDescent="0.25"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P1816" s="6"/>
    </row>
    <row r="1817" spans="4:16" x14ac:dyDescent="0.25"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P1817" s="6"/>
    </row>
    <row r="1818" spans="4:16" x14ac:dyDescent="0.25"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P1818" s="6"/>
    </row>
    <row r="1819" spans="4:16" x14ac:dyDescent="0.25"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P1819" s="6"/>
    </row>
    <row r="1820" spans="4:16" x14ac:dyDescent="0.25"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P1820" s="6"/>
    </row>
    <row r="1821" spans="4:16" x14ac:dyDescent="0.25"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P1821" s="6"/>
    </row>
    <row r="1822" spans="4:16" x14ac:dyDescent="0.25"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P1822" s="6"/>
    </row>
    <row r="1823" spans="4:16" x14ac:dyDescent="0.25"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P1823" s="6"/>
    </row>
    <row r="1824" spans="4:16" x14ac:dyDescent="0.25"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P1824" s="6"/>
    </row>
    <row r="1825" spans="4:16" x14ac:dyDescent="0.25"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P1825" s="6"/>
    </row>
    <row r="1826" spans="4:16" x14ac:dyDescent="0.25"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P1826" s="6"/>
    </row>
    <row r="1827" spans="4:16" x14ac:dyDescent="0.25"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P1827" s="6"/>
    </row>
    <row r="1828" spans="4:16" x14ac:dyDescent="0.25"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P1828" s="6"/>
    </row>
    <row r="1829" spans="4:16" x14ac:dyDescent="0.25"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P1829" s="6"/>
    </row>
    <row r="1830" spans="4:16" x14ac:dyDescent="0.25"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P1830" s="6"/>
    </row>
    <row r="1831" spans="4:16" x14ac:dyDescent="0.25"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P1831" s="6"/>
    </row>
    <row r="1832" spans="4:16" x14ac:dyDescent="0.25"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P1832" s="6"/>
    </row>
    <row r="1833" spans="4:16" x14ac:dyDescent="0.25"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P1833" s="6"/>
    </row>
    <row r="1834" spans="4:16" x14ac:dyDescent="0.25"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P1834" s="6"/>
    </row>
    <row r="1835" spans="4:16" x14ac:dyDescent="0.25"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P1835" s="6"/>
    </row>
    <row r="1836" spans="4:16" x14ac:dyDescent="0.25"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P1836" s="6"/>
    </row>
    <row r="1837" spans="4:16" x14ac:dyDescent="0.25"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P1837" s="6"/>
    </row>
    <row r="1838" spans="4:16" x14ac:dyDescent="0.25"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P1838" s="6"/>
    </row>
    <row r="1839" spans="4:16" x14ac:dyDescent="0.25"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P1839" s="6"/>
    </row>
    <row r="1840" spans="4:16" x14ac:dyDescent="0.25"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P1840" s="6"/>
    </row>
    <row r="1841" spans="4:16" x14ac:dyDescent="0.25"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P1841" s="6"/>
    </row>
    <row r="1842" spans="4:16" x14ac:dyDescent="0.25"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P1842" s="6"/>
    </row>
    <row r="1843" spans="4:16" x14ac:dyDescent="0.25"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P1843" s="6"/>
    </row>
    <row r="1844" spans="4:16" x14ac:dyDescent="0.25"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P1844" s="6"/>
    </row>
    <row r="1845" spans="4:16" x14ac:dyDescent="0.25"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P1845" s="6"/>
    </row>
    <row r="1846" spans="4:16" x14ac:dyDescent="0.25"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P1846" s="6"/>
    </row>
    <row r="1847" spans="4:16" x14ac:dyDescent="0.25"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P1847" s="6"/>
    </row>
    <row r="1848" spans="4:16" x14ac:dyDescent="0.25"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P1848" s="6"/>
    </row>
    <row r="1849" spans="4:16" x14ac:dyDescent="0.25"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P1849" s="6"/>
    </row>
    <row r="1850" spans="4:16" x14ac:dyDescent="0.25"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P1850" s="6"/>
    </row>
    <row r="1851" spans="4:16" x14ac:dyDescent="0.25"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P1851" s="6"/>
    </row>
    <row r="1852" spans="4:16" x14ac:dyDescent="0.25"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P1852" s="6"/>
    </row>
    <row r="1853" spans="4:16" x14ac:dyDescent="0.25"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P1853" s="6"/>
    </row>
    <row r="1854" spans="4:16" x14ac:dyDescent="0.25"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P1854" s="6"/>
    </row>
    <row r="1855" spans="4:16" x14ac:dyDescent="0.25"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P1855" s="6"/>
    </row>
    <row r="1856" spans="4:16" x14ac:dyDescent="0.25"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P1856" s="6"/>
    </row>
    <row r="1857" spans="4:16" x14ac:dyDescent="0.25"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P1857" s="6"/>
    </row>
    <row r="1858" spans="4:16" x14ac:dyDescent="0.25"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P1858" s="6"/>
    </row>
    <row r="1859" spans="4:16" x14ac:dyDescent="0.25"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P1859" s="6"/>
    </row>
    <row r="1860" spans="4:16" x14ac:dyDescent="0.25"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P1860" s="6"/>
    </row>
    <row r="1861" spans="4:16" x14ac:dyDescent="0.25"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P1861" s="6"/>
    </row>
    <row r="1862" spans="4:16" x14ac:dyDescent="0.25"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P1862" s="6"/>
    </row>
    <row r="1863" spans="4:16" x14ac:dyDescent="0.25"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P1863" s="6"/>
    </row>
    <row r="1864" spans="4:16" x14ac:dyDescent="0.25"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P1864" s="6"/>
    </row>
    <row r="1865" spans="4:16" x14ac:dyDescent="0.25"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P1865" s="6"/>
    </row>
    <row r="1866" spans="4:16" x14ac:dyDescent="0.25"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P1866" s="6"/>
    </row>
    <row r="1867" spans="4:16" x14ac:dyDescent="0.25"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P1867" s="6"/>
    </row>
    <row r="1868" spans="4:16" x14ac:dyDescent="0.25"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P1868" s="6"/>
    </row>
    <row r="1869" spans="4:16" x14ac:dyDescent="0.25"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P1869" s="6"/>
    </row>
    <row r="1870" spans="4:16" x14ac:dyDescent="0.25"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P1870" s="6"/>
    </row>
    <row r="1871" spans="4:16" x14ac:dyDescent="0.25"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P1871" s="6"/>
    </row>
    <row r="1872" spans="4:16" x14ac:dyDescent="0.25"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P1872" s="6"/>
    </row>
    <row r="1873" spans="4:16" x14ac:dyDescent="0.25"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P1873" s="6"/>
    </row>
    <row r="1874" spans="4:16" x14ac:dyDescent="0.25"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P1874" s="6"/>
    </row>
    <row r="1875" spans="4:16" x14ac:dyDescent="0.25"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P1875" s="6"/>
    </row>
    <row r="1876" spans="4:16" x14ac:dyDescent="0.25"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P1876" s="6"/>
    </row>
    <row r="1877" spans="4:16" x14ac:dyDescent="0.25"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P1877" s="6"/>
    </row>
    <row r="1878" spans="4:16" x14ac:dyDescent="0.25"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P1878" s="6"/>
    </row>
    <row r="1879" spans="4:16" x14ac:dyDescent="0.25"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P1879" s="6"/>
    </row>
    <row r="1880" spans="4:16" x14ac:dyDescent="0.25"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P1880" s="6"/>
    </row>
    <row r="1881" spans="4:16" x14ac:dyDescent="0.25"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P1881" s="6"/>
    </row>
    <row r="1882" spans="4:16" x14ac:dyDescent="0.25"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P1882" s="6"/>
    </row>
    <row r="1883" spans="4:16" x14ac:dyDescent="0.25"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P1883" s="6"/>
    </row>
    <row r="1884" spans="4:16" x14ac:dyDescent="0.25"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P1884" s="6"/>
    </row>
    <row r="1885" spans="4:16" x14ac:dyDescent="0.25"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P1885" s="6"/>
    </row>
    <row r="1886" spans="4:16" x14ac:dyDescent="0.25"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P1886" s="6"/>
    </row>
    <row r="1887" spans="4:16" x14ac:dyDescent="0.25"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P1887" s="6"/>
    </row>
    <row r="1888" spans="4:16" x14ac:dyDescent="0.25"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P1888" s="6"/>
    </row>
    <row r="1889" spans="4:16" x14ac:dyDescent="0.25"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P1889" s="6"/>
    </row>
    <row r="1890" spans="4:16" x14ac:dyDescent="0.25"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P1890" s="6"/>
    </row>
    <row r="1891" spans="4:16" x14ac:dyDescent="0.25"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P1891" s="6"/>
    </row>
    <row r="1892" spans="4:16" x14ac:dyDescent="0.25"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P1892" s="6"/>
    </row>
    <row r="1893" spans="4:16" x14ac:dyDescent="0.25"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P1893" s="6"/>
    </row>
    <row r="1894" spans="4:16" x14ac:dyDescent="0.25"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P1894" s="6"/>
    </row>
    <row r="1895" spans="4:16" x14ac:dyDescent="0.25"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P1895" s="6"/>
    </row>
    <row r="1896" spans="4:16" x14ac:dyDescent="0.25"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P1896" s="6"/>
    </row>
    <row r="1897" spans="4:16" x14ac:dyDescent="0.25"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P1897" s="6"/>
    </row>
    <row r="1898" spans="4:16" x14ac:dyDescent="0.25"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P1898" s="6"/>
    </row>
    <row r="1899" spans="4:16" x14ac:dyDescent="0.25"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P1899" s="6"/>
    </row>
    <row r="1900" spans="4:16" x14ac:dyDescent="0.25"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P1900" s="6"/>
    </row>
    <row r="1901" spans="4:16" x14ac:dyDescent="0.25"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P1901" s="6"/>
    </row>
    <row r="1902" spans="4:16" x14ac:dyDescent="0.25"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P1902" s="6"/>
    </row>
    <row r="1903" spans="4:16" x14ac:dyDescent="0.25"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P1903" s="6"/>
    </row>
    <row r="1904" spans="4:16" x14ac:dyDescent="0.25"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P1904" s="6"/>
    </row>
    <row r="1905" spans="4:16" x14ac:dyDescent="0.25"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P1905" s="6"/>
    </row>
    <row r="1906" spans="4:16" x14ac:dyDescent="0.25"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P1906" s="6"/>
    </row>
    <row r="1907" spans="4:16" x14ac:dyDescent="0.25"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P1907" s="6"/>
    </row>
    <row r="1908" spans="4:16" x14ac:dyDescent="0.25"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P1908" s="6"/>
    </row>
    <row r="1909" spans="4:16" x14ac:dyDescent="0.25"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P1909" s="6"/>
    </row>
    <row r="1910" spans="4:16" x14ac:dyDescent="0.25"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P1910" s="6"/>
    </row>
    <row r="1911" spans="4:16" x14ac:dyDescent="0.25"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P1911" s="6"/>
    </row>
    <row r="1912" spans="4:16" x14ac:dyDescent="0.25"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P1912" s="6"/>
    </row>
    <row r="1913" spans="4:16" x14ac:dyDescent="0.25"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P1913" s="6"/>
    </row>
    <row r="1914" spans="4:16" x14ac:dyDescent="0.25"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P1914" s="6"/>
    </row>
    <row r="1915" spans="4:16" x14ac:dyDescent="0.25"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P1915" s="6"/>
    </row>
    <row r="1916" spans="4:16" x14ac:dyDescent="0.25"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P1916" s="6"/>
    </row>
    <row r="1917" spans="4:16" x14ac:dyDescent="0.25"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P1917" s="6"/>
    </row>
    <row r="1918" spans="4:16" x14ac:dyDescent="0.25"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P1918" s="6"/>
    </row>
    <row r="1919" spans="4:16" x14ac:dyDescent="0.25"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P1919" s="6"/>
    </row>
    <row r="1920" spans="4:16" x14ac:dyDescent="0.25"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P1920" s="6"/>
    </row>
    <row r="1921" spans="4:16" x14ac:dyDescent="0.25"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P1921" s="6"/>
    </row>
    <row r="1922" spans="4:16" x14ac:dyDescent="0.25"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P1922" s="6"/>
    </row>
    <row r="1923" spans="4:16" x14ac:dyDescent="0.25"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P1923" s="6"/>
    </row>
    <row r="1924" spans="4:16" x14ac:dyDescent="0.25"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P1924" s="6"/>
    </row>
    <row r="1925" spans="4:16" x14ac:dyDescent="0.25"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P1925" s="6"/>
    </row>
    <row r="1926" spans="4:16" x14ac:dyDescent="0.25"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P1926" s="6"/>
    </row>
    <row r="1927" spans="4:16" x14ac:dyDescent="0.25"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P1927" s="6"/>
    </row>
    <row r="1928" spans="4:16" x14ac:dyDescent="0.25"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P1928" s="6"/>
    </row>
    <row r="1929" spans="4:16" x14ac:dyDescent="0.25"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P1929" s="6"/>
    </row>
    <row r="1930" spans="4:16" x14ac:dyDescent="0.25"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P1930" s="6"/>
    </row>
    <row r="1931" spans="4:16" x14ac:dyDescent="0.25"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P1931" s="6"/>
    </row>
    <row r="1932" spans="4:16" x14ac:dyDescent="0.25"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P1932" s="6"/>
    </row>
    <row r="1933" spans="4:16" x14ac:dyDescent="0.25"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P1933" s="6"/>
    </row>
    <row r="1934" spans="4:16" x14ac:dyDescent="0.25"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P1934" s="6"/>
    </row>
    <row r="1935" spans="4:16" x14ac:dyDescent="0.25"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P1935" s="6"/>
    </row>
    <row r="1936" spans="4:16" x14ac:dyDescent="0.25"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P1936" s="6"/>
    </row>
    <row r="1937" spans="4:16" x14ac:dyDescent="0.25"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P1937" s="6"/>
    </row>
    <row r="1938" spans="4:16" x14ac:dyDescent="0.25"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P1938" s="6"/>
    </row>
    <row r="1939" spans="4:16" x14ac:dyDescent="0.25"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P1939" s="6"/>
    </row>
    <row r="1940" spans="4:16" x14ac:dyDescent="0.25"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P1940" s="6"/>
    </row>
    <row r="1941" spans="4:16" x14ac:dyDescent="0.25"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P1941" s="6"/>
    </row>
    <row r="1942" spans="4:16" x14ac:dyDescent="0.25"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P1942" s="6"/>
    </row>
    <row r="1943" spans="4:16" x14ac:dyDescent="0.25"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P1943" s="6"/>
    </row>
    <row r="1944" spans="4:16" x14ac:dyDescent="0.25"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P1944" s="6"/>
    </row>
    <row r="1945" spans="4:16" x14ac:dyDescent="0.25"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P1945" s="6"/>
    </row>
    <row r="1946" spans="4:16" x14ac:dyDescent="0.25"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P1946" s="6"/>
    </row>
    <row r="1947" spans="4:16" x14ac:dyDescent="0.25"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P1947" s="6"/>
    </row>
    <row r="1948" spans="4:16" x14ac:dyDescent="0.25"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P1948" s="6"/>
    </row>
    <row r="1949" spans="4:16" x14ac:dyDescent="0.25"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P1949" s="6"/>
    </row>
    <row r="1950" spans="4:16" x14ac:dyDescent="0.25"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P1950" s="6"/>
    </row>
    <row r="1951" spans="4:16" x14ac:dyDescent="0.25"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P1951" s="6"/>
    </row>
    <row r="1952" spans="4:16" x14ac:dyDescent="0.25"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P1952" s="6"/>
    </row>
    <row r="1953" spans="4:16" x14ac:dyDescent="0.25"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P1953" s="6"/>
    </row>
    <row r="1954" spans="4:16" x14ac:dyDescent="0.25"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P1954" s="6"/>
    </row>
    <row r="1955" spans="4:16" x14ac:dyDescent="0.25"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P1955" s="6"/>
    </row>
    <row r="1956" spans="4:16" x14ac:dyDescent="0.25"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P1956" s="6"/>
    </row>
    <row r="1957" spans="4:16" x14ac:dyDescent="0.25"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P1957" s="6"/>
    </row>
    <row r="1958" spans="4:16" x14ac:dyDescent="0.25"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P1958" s="6"/>
    </row>
    <row r="1959" spans="4:16" x14ac:dyDescent="0.25"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P1959" s="6"/>
    </row>
    <row r="1960" spans="4:16" x14ac:dyDescent="0.25"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P1960" s="6"/>
    </row>
    <row r="1961" spans="4:16" x14ac:dyDescent="0.25"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P1961" s="6"/>
    </row>
    <row r="1962" spans="4:16" x14ac:dyDescent="0.25"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P1962" s="6"/>
    </row>
    <row r="1963" spans="4:16" x14ac:dyDescent="0.25"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P1963" s="6"/>
    </row>
    <row r="1964" spans="4:16" x14ac:dyDescent="0.25"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P1964" s="6"/>
    </row>
    <row r="1965" spans="4:16" x14ac:dyDescent="0.25"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P1965" s="6"/>
    </row>
    <row r="1966" spans="4:16" x14ac:dyDescent="0.25"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P1966" s="6"/>
    </row>
    <row r="1967" spans="4:16" x14ac:dyDescent="0.25"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P1967" s="6"/>
    </row>
    <row r="1968" spans="4:16" x14ac:dyDescent="0.25"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P1968" s="6"/>
    </row>
    <row r="1969" spans="4:16" x14ac:dyDescent="0.25"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P1969" s="6"/>
    </row>
    <row r="1970" spans="4:16" x14ac:dyDescent="0.25"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P1970" s="6"/>
    </row>
    <row r="1971" spans="4:16" x14ac:dyDescent="0.25"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P1971" s="6"/>
    </row>
    <row r="1972" spans="4:16" x14ac:dyDescent="0.25"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P1972" s="6"/>
    </row>
    <row r="1973" spans="4:16" x14ac:dyDescent="0.25"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P1973" s="6"/>
    </row>
    <row r="1974" spans="4:16" x14ac:dyDescent="0.25"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P1974" s="6"/>
    </row>
    <row r="1975" spans="4:16" x14ac:dyDescent="0.25"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P1975" s="6"/>
    </row>
    <row r="1976" spans="4:16" x14ac:dyDescent="0.25"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P1976" s="6"/>
    </row>
    <row r="1977" spans="4:16" x14ac:dyDescent="0.25"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P1977" s="6"/>
    </row>
    <row r="1978" spans="4:16" x14ac:dyDescent="0.25"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P1978" s="6"/>
    </row>
    <row r="1979" spans="4:16" x14ac:dyDescent="0.25"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P1979" s="6"/>
    </row>
    <row r="1980" spans="4:16" x14ac:dyDescent="0.25"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P1980" s="6"/>
    </row>
    <row r="1981" spans="4:16" x14ac:dyDescent="0.25"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P1981" s="6"/>
    </row>
    <row r="1982" spans="4:16" x14ac:dyDescent="0.25"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P1982" s="6"/>
    </row>
    <row r="1983" spans="4:16" x14ac:dyDescent="0.25"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P1983" s="6"/>
    </row>
    <row r="1984" spans="4:16" x14ac:dyDescent="0.25"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P1984" s="6"/>
    </row>
    <row r="1985" spans="4:16" x14ac:dyDescent="0.25"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P1985" s="6"/>
    </row>
    <row r="1986" spans="4:16" x14ac:dyDescent="0.25"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P1986" s="6"/>
    </row>
    <row r="1987" spans="4:16" x14ac:dyDescent="0.25"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P1987" s="6"/>
    </row>
    <row r="1988" spans="4:16" x14ac:dyDescent="0.25"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P1988" s="6"/>
    </row>
    <row r="1989" spans="4:16" x14ac:dyDescent="0.25"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P1989" s="6"/>
    </row>
    <row r="1990" spans="4:16" x14ac:dyDescent="0.25"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P1990" s="6"/>
    </row>
    <row r="1991" spans="4:16" x14ac:dyDescent="0.25"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P1991" s="6"/>
    </row>
    <row r="1992" spans="4:16" x14ac:dyDescent="0.25"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P1992" s="6"/>
    </row>
    <row r="1993" spans="4:16" x14ac:dyDescent="0.25"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P1993" s="6"/>
    </row>
    <row r="1994" spans="4:16" x14ac:dyDescent="0.25"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P1994" s="6"/>
    </row>
    <row r="1995" spans="4:16" x14ac:dyDescent="0.25"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P1995" s="6"/>
    </row>
    <row r="1996" spans="4:16" x14ac:dyDescent="0.25"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P1996" s="6"/>
    </row>
    <row r="1997" spans="4:16" x14ac:dyDescent="0.25"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P1997" s="6"/>
    </row>
    <row r="1998" spans="4:16" x14ac:dyDescent="0.25"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P1998" s="6"/>
    </row>
    <row r="1999" spans="4:16" x14ac:dyDescent="0.25"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P1999" s="6"/>
    </row>
    <row r="2000" spans="4:16" x14ac:dyDescent="0.25"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P2000" s="6"/>
    </row>
    <row r="2001" spans="4:16" x14ac:dyDescent="0.25"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P2001" s="6"/>
    </row>
    <row r="2002" spans="4:16" x14ac:dyDescent="0.25"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P2002" s="6"/>
    </row>
    <row r="2003" spans="4:16" x14ac:dyDescent="0.25"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P2003" s="6"/>
    </row>
    <row r="2004" spans="4:16" x14ac:dyDescent="0.25"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P2004" s="6"/>
    </row>
    <row r="2005" spans="4:16" x14ac:dyDescent="0.25"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P2005" s="6"/>
    </row>
    <row r="2006" spans="4:16" x14ac:dyDescent="0.25"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P2006" s="6"/>
    </row>
    <row r="2007" spans="4:16" x14ac:dyDescent="0.25"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P2007" s="6"/>
    </row>
    <row r="2008" spans="4:16" x14ac:dyDescent="0.25"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P2008" s="6"/>
    </row>
    <row r="2009" spans="4:16" x14ac:dyDescent="0.25"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P2009" s="6"/>
    </row>
    <row r="2010" spans="4:16" x14ac:dyDescent="0.25"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P2010" s="6"/>
    </row>
    <row r="2011" spans="4:16" x14ac:dyDescent="0.25"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P2011" s="6"/>
    </row>
    <row r="2012" spans="4:16" x14ac:dyDescent="0.25"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P2012" s="6"/>
    </row>
    <row r="2013" spans="4:16" x14ac:dyDescent="0.25"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P2013" s="6"/>
    </row>
    <row r="2014" spans="4:16" x14ac:dyDescent="0.25"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P2014" s="6"/>
    </row>
    <row r="2015" spans="4:16" x14ac:dyDescent="0.25"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P2015" s="6"/>
    </row>
    <row r="2016" spans="4:16" x14ac:dyDescent="0.25"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P2016" s="6"/>
    </row>
    <row r="2017" spans="4:16" x14ac:dyDescent="0.25"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P2017" s="6"/>
    </row>
    <row r="2018" spans="4:16" x14ac:dyDescent="0.25"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P2018" s="6"/>
    </row>
    <row r="2019" spans="4:16" x14ac:dyDescent="0.25"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P2019" s="6"/>
    </row>
    <row r="2020" spans="4:16" x14ac:dyDescent="0.25"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P2020" s="6"/>
    </row>
    <row r="2021" spans="4:16" x14ac:dyDescent="0.25"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P2021" s="6"/>
    </row>
    <row r="2022" spans="4:16" x14ac:dyDescent="0.25"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P2022" s="6"/>
    </row>
    <row r="2023" spans="4:16" x14ac:dyDescent="0.25"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P2023" s="6"/>
    </row>
    <row r="2024" spans="4:16" x14ac:dyDescent="0.25"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P2024" s="6"/>
    </row>
    <row r="2025" spans="4:16" x14ac:dyDescent="0.25"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P2025" s="6"/>
    </row>
    <row r="2026" spans="4:16" x14ac:dyDescent="0.25"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P2026" s="6"/>
    </row>
    <row r="2027" spans="4:16" x14ac:dyDescent="0.25"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P2027" s="6"/>
    </row>
    <row r="2028" spans="4:16" x14ac:dyDescent="0.25"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P2028" s="6"/>
    </row>
    <row r="2029" spans="4:16" x14ac:dyDescent="0.25"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P2029" s="6"/>
    </row>
    <row r="2030" spans="4:16" x14ac:dyDescent="0.25"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P2030" s="6"/>
    </row>
    <row r="2031" spans="4:16" x14ac:dyDescent="0.25"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P2031" s="6"/>
    </row>
    <row r="2032" spans="4:16" x14ac:dyDescent="0.25"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P2032" s="6"/>
    </row>
    <row r="2033" spans="4:16" x14ac:dyDescent="0.25"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P2033" s="6"/>
    </row>
    <row r="2034" spans="4:16" x14ac:dyDescent="0.25"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P2034" s="6"/>
    </row>
    <row r="2035" spans="4:16" x14ac:dyDescent="0.25"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P2035" s="6"/>
    </row>
    <row r="2036" spans="4:16" x14ac:dyDescent="0.25"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P2036" s="6"/>
    </row>
    <row r="2037" spans="4:16" x14ac:dyDescent="0.25"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P2037" s="6"/>
    </row>
    <row r="2038" spans="4:16" x14ac:dyDescent="0.25"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P2038" s="6"/>
    </row>
    <row r="2039" spans="4:16" x14ac:dyDescent="0.25"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P2039" s="6"/>
    </row>
    <row r="2040" spans="4:16" x14ac:dyDescent="0.25"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P2040" s="6"/>
    </row>
    <row r="2041" spans="4:16" x14ac:dyDescent="0.25"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P2041" s="6"/>
    </row>
    <row r="2042" spans="4:16" x14ac:dyDescent="0.25"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P2042" s="6"/>
    </row>
    <row r="2043" spans="4:16" x14ac:dyDescent="0.25"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P2043" s="6"/>
    </row>
    <row r="2044" spans="4:16" x14ac:dyDescent="0.25"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P2044" s="6"/>
    </row>
    <row r="2045" spans="4:16" x14ac:dyDescent="0.25"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P2045" s="6"/>
    </row>
    <row r="2046" spans="4:16" x14ac:dyDescent="0.25"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P2046" s="6"/>
    </row>
    <row r="2047" spans="4:16" x14ac:dyDescent="0.25"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P2047" s="6"/>
    </row>
    <row r="2048" spans="4:16" x14ac:dyDescent="0.25"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P2048" s="6"/>
    </row>
    <row r="2049" spans="4:16" x14ac:dyDescent="0.25"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P2049" s="6"/>
    </row>
    <row r="2050" spans="4:16" x14ac:dyDescent="0.25"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P2050" s="6"/>
    </row>
    <row r="2051" spans="4:16" x14ac:dyDescent="0.25"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P2051" s="6"/>
    </row>
    <row r="2052" spans="4:16" x14ac:dyDescent="0.25"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P2052" s="6"/>
    </row>
    <row r="2053" spans="4:16" x14ac:dyDescent="0.25"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P2053" s="6"/>
    </row>
    <row r="2054" spans="4:16" x14ac:dyDescent="0.25"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P2054" s="6"/>
    </row>
    <row r="2055" spans="4:16" x14ac:dyDescent="0.25"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P2055" s="6"/>
    </row>
    <row r="2056" spans="4:16" x14ac:dyDescent="0.25"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P2056" s="6"/>
    </row>
    <row r="2057" spans="4:16" x14ac:dyDescent="0.25"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P2057" s="6"/>
    </row>
    <row r="2058" spans="4:16" x14ac:dyDescent="0.25"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P2058" s="6"/>
    </row>
    <row r="2059" spans="4:16" x14ac:dyDescent="0.25"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P2059" s="6"/>
    </row>
    <row r="2060" spans="4:16" x14ac:dyDescent="0.25"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P2060" s="6"/>
    </row>
    <row r="2061" spans="4:16" x14ac:dyDescent="0.25"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P2061" s="6"/>
    </row>
    <row r="2062" spans="4:16" x14ac:dyDescent="0.25"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P2062" s="6"/>
    </row>
    <row r="2063" spans="4:16" x14ac:dyDescent="0.25"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P2063" s="6"/>
    </row>
    <row r="2064" spans="4:16" x14ac:dyDescent="0.25"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P2064" s="6"/>
    </row>
    <row r="2065" spans="4:16" x14ac:dyDescent="0.25"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P2065" s="6"/>
    </row>
    <row r="2066" spans="4:16" x14ac:dyDescent="0.25"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P2066" s="6"/>
    </row>
    <row r="2067" spans="4:16" x14ac:dyDescent="0.25"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P2067" s="6"/>
    </row>
    <row r="2068" spans="4:16" x14ac:dyDescent="0.25"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P2068" s="6"/>
    </row>
    <row r="2069" spans="4:16" x14ac:dyDescent="0.25"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P2069" s="6"/>
    </row>
    <row r="2070" spans="4:16" x14ac:dyDescent="0.25"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P2070" s="6"/>
    </row>
    <row r="2071" spans="4:16" x14ac:dyDescent="0.25"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P2071" s="6"/>
    </row>
    <row r="2072" spans="4:16" x14ac:dyDescent="0.25"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P2072" s="6"/>
    </row>
    <row r="2073" spans="4:16" x14ac:dyDescent="0.25"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P2073" s="6"/>
    </row>
    <row r="2074" spans="4:16" x14ac:dyDescent="0.25"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P2074" s="6"/>
    </row>
    <row r="2075" spans="4:16" x14ac:dyDescent="0.25"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P2075" s="6"/>
    </row>
    <row r="2076" spans="4:16" x14ac:dyDescent="0.25"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P2076" s="6"/>
    </row>
    <row r="2077" spans="4:16" x14ac:dyDescent="0.25"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P2077" s="6"/>
    </row>
    <row r="2078" spans="4:16" x14ac:dyDescent="0.25"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P2078" s="6"/>
    </row>
    <row r="2079" spans="4:16" x14ac:dyDescent="0.25"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P2079" s="6"/>
    </row>
    <row r="2080" spans="4:16" x14ac:dyDescent="0.25"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P2080" s="6"/>
    </row>
    <row r="2081" spans="4:16" x14ac:dyDescent="0.25"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P2081" s="6"/>
    </row>
    <row r="2082" spans="4:16" x14ac:dyDescent="0.25"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P2082" s="6"/>
    </row>
    <row r="2083" spans="4:16" x14ac:dyDescent="0.25"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P2083" s="6"/>
    </row>
    <row r="2084" spans="4:16" x14ac:dyDescent="0.25"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P2084" s="6"/>
    </row>
    <row r="2085" spans="4:16" x14ac:dyDescent="0.25"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P2085" s="6"/>
    </row>
    <row r="2086" spans="4:16" x14ac:dyDescent="0.25"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P2086" s="6"/>
    </row>
    <row r="2087" spans="4:16" x14ac:dyDescent="0.25"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P2087" s="6"/>
    </row>
    <row r="2088" spans="4:16" x14ac:dyDescent="0.25"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P2088" s="6"/>
    </row>
    <row r="2089" spans="4:16" x14ac:dyDescent="0.25"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P2089" s="6"/>
    </row>
    <row r="2090" spans="4:16" x14ac:dyDescent="0.25"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P2090" s="6"/>
    </row>
    <row r="2091" spans="4:16" x14ac:dyDescent="0.25"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P2091" s="6"/>
    </row>
    <row r="2092" spans="4:16" x14ac:dyDescent="0.25"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P2092" s="6"/>
    </row>
    <row r="2093" spans="4:16" x14ac:dyDescent="0.25"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P2093" s="6"/>
    </row>
    <row r="2094" spans="4:16" x14ac:dyDescent="0.25"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P2094" s="6"/>
    </row>
    <row r="2095" spans="4:16" x14ac:dyDescent="0.25"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P2095" s="6"/>
    </row>
    <row r="2096" spans="4:16" x14ac:dyDescent="0.25"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P2096" s="6"/>
    </row>
    <row r="2097" spans="4:16" x14ac:dyDescent="0.25"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P2097" s="6"/>
    </row>
    <row r="2098" spans="4:16" x14ac:dyDescent="0.25"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P2098" s="6"/>
    </row>
    <row r="2099" spans="4:16" x14ac:dyDescent="0.25"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P2099" s="6"/>
    </row>
    <row r="2100" spans="4:16" x14ac:dyDescent="0.25"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P2100" s="6"/>
    </row>
    <row r="2101" spans="4:16" x14ac:dyDescent="0.25"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P2101" s="6"/>
    </row>
    <row r="2102" spans="4:16" x14ac:dyDescent="0.25"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P2102" s="6"/>
    </row>
    <row r="2103" spans="4:16" x14ac:dyDescent="0.25"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P2103" s="6"/>
    </row>
    <row r="2104" spans="4:16" x14ac:dyDescent="0.25"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P2104" s="6"/>
    </row>
    <row r="2105" spans="4:16" x14ac:dyDescent="0.25"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P2105" s="6"/>
    </row>
    <row r="2106" spans="4:16" x14ac:dyDescent="0.25"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P2106" s="6"/>
    </row>
    <row r="2107" spans="4:16" x14ac:dyDescent="0.25"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P2107" s="6"/>
    </row>
    <row r="2108" spans="4:16" x14ac:dyDescent="0.25"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P2108" s="6"/>
    </row>
    <row r="2109" spans="4:16" x14ac:dyDescent="0.25"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P2109" s="6"/>
    </row>
    <row r="2110" spans="4:16" x14ac:dyDescent="0.25"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P2110" s="6"/>
    </row>
    <row r="2111" spans="4:16" x14ac:dyDescent="0.25"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P2111" s="6"/>
    </row>
    <row r="2112" spans="4:16" x14ac:dyDescent="0.25"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P2112" s="6"/>
    </row>
    <row r="2113" spans="4:16" x14ac:dyDescent="0.25"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P2113" s="6"/>
    </row>
    <row r="2114" spans="4:16" x14ac:dyDescent="0.25"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P2114" s="6"/>
    </row>
    <row r="2115" spans="4:16" x14ac:dyDescent="0.25"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P2115" s="6"/>
    </row>
    <row r="2116" spans="4:16" x14ac:dyDescent="0.25"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P2116" s="6"/>
    </row>
    <row r="2117" spans="4:16" x14ac:dyDescent="0.25"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P2117" s="6"/>
    </row>
    <row r="2118" spans="4:16" x14ac:dyDescent="0.25"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P2118" s="6"/>
    </row>
    <row r="2119" spans="4:16" x14ac:dyDescent="0.25"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P2119" s="6"/>
    </row>
    <row r="2120" spans="4:16" x14ac:dyDescent="0.25"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P2120" s="6"/>
    </row>
    <row r="2121" spans="4:16" x14ac:dyDescent="0.25"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P2121" s="6"/>
    </row>
    <row r="2122" spans="4:16" x14ac:dyDescent="0.25"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P2122" s="6"/>
    </row>
    <row r="2123" spans="4:16" x14ac:dyDescent="0.25"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P2123" s="6"/>
    </row>
    <row r="2124" spans="4:16" x14ac:dyDescent="0.25"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P2124" s="6"/>
    </row>
    <row r="2125" spans="4:16" x14ac:dyDescent="0.25"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P2125" s="6"/>
    </row>
    <row r="2126" spans="4:16" x14ac:dyDescent="0.25"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P2126" s="6"/>
    </row>
    <row r="2127" spans="4:16" x14ac:dyDescent="0.25"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P2127" s="6"/>
    </row>
    <row r="2128" spans="4:16" x14ac:dyDescent="0.25"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P2128" s="6"/>
    </row>
    <row r="2129" spans="4:16" x14ac:dyDescent="0.25"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P2129" s="6"/>
    </row>
    <row r="2130" spans="4:16" x14ac:dyDescent="0.25"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P2130" s="6"/>
    </row>
    <row r="2131" spans="4:16" x14ac:dyDescent="0.25"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P2131" s="6"/>
    </row>
    <row r="2132" spans="4:16" x14ac:dyDescent="0.25"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P2132" s="6"/>
    </row>
    <row r="2133" spans="4:16" x14ac:dyDescent="0.25"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P2133" s="6"/>
    </row>
    <row r="2134" spans="4:16" x14ac:dyDescent="0.25"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P2134" s="6"/>
    </row>
    <row r="2135" spans="4:16" x14ac:dyDescent="0.25"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P2135" s="6"/>
    </row>
    <row r="2136" spans="4:16" x14ac:dyDescent="0.25"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P2136" s="6"/>
    </row>
    <row r="2137" spans="4:16" x14ac:dyDescent="0.25"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P2137" s="6"/>
    </row>
    <row r="2138" spans="4:16" x14ac:dyDescent="0.25"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P2138" s="6"/>
    </row>
    <row r="2139" spans="4:16" x14ac:dyDescent="0.25"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P2139" s="6"/>
    </row>
    <row r="2140" spans="4:16" x14ac:dyDescent="0.25"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P2140" s="6"/>
    </row>
    <row r="2141" spans="4:16" x14ac:dyDescent="0.25"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P2141" s="6"/>
    </row>
    <row r="2142" spans="4:16" x14ac:dyDescent="0.25"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P2142" s="6"/>
    </row>
    <row r="2143" spans="4:16" x14ac:dyDescent="0.25"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P2143" s="6"/>
    </row>
    <row r="2144" spans="4:16" x14ac:dyDescent="0.25"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P2144" s="6"/>
    </row>
    <row r="2145" spans="4:16" x14ac:dyDescent="0.25"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P2145" s="6"/>
    </row>
    <row r="2146" spans="4:16" x14ac:dyDescent="0.25"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P2146" s="6"/>
    </row>
    <row r="2147" spans="4:16" x14ac:dyDescent="0.25"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P2147" s="6"/>
    </row>
    <row r="2148" spans="4:16" x14ac:dyDescent="0.25"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P2148" s="6"/>
    </row>
    <row r="2149" spans="4:16" x14ac:dyDescent="0.25"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P2149" s="6"/>
    </row>
    <row r="2150" spans="4:16" x14ac:dyDescent="0.25"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P2150" s="6"/>
    </row>
    <row r="2151" spans="4:16" x14ac:dyDescent="0.25"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P2151" s="6"/>
    </row>
    <row r="2152" spans="4:16" x14ac:dyDescent="0.25"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P2152" s="6"/>
    </row>
    <row r="2153" spans="4:16" x14ac:dyDescent="0.25"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P2153" s="6"/>
    </row>
    <row r="2154" spans="4:16" x14ac:dyDescent="0.25"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P2154" s="6"/>
    </row>
    <row r="2155" spans="4:16" x14ac:dyDescent="0.25"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P2155" s="6"/>
    </row>
    <row r="2156" spans="4:16" x14ac:dyDescent="0.25"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P2156" s="6"/>
    </row>
    <row r="2157" spans="4:16" x14ac:dyDescent="0.25"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P2157" s="6"/>
    </row>
    <row r="2158" spans="4:16" x14ac:dyDescent="0.25"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P2158" s="6"/>
    </row>
    <row r="2159" spans="4:16" x14ac:dyDescent="0.25"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P2159" s="6"/>
    </row>
    <row r="2160" spans="4:16" x14ac:dyDescent="0.25"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P2160" s="6"/>
    </row>
    <row r="2161" spans="4:16" x14ac:dyDescent="0.25"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P2161" s="6"/>
    </row>
    <row r="2162" spans="4:16" x14ac:dyDescent="0.25"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P2162" s="6"/>
    </row>
    <row r="2163" spans="4:16" x14ac:dyDescent="0.25"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P2163" s="6"/>
    </row>
    <row r="2164" spans="4:16" x14ac:dyDescent="0.25"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P2164" s="6"/>
    </row>
    <row r="2165" spans="4:16" x14ac:dyDescent="0.25"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P2165" s="6"/>
    </row>
    <row r="2166" spans="4:16" x14ac:dyDescent="0.25"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P2166" s="6"/>
    </row>
    <row r="2167" spans="4:16" x14ac:dyDescent="0.25"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P2167" s="6"/>
    </row>
    <row r="2168" spans="4:16" x14ac:dyDescent="0.25"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P2168" s="6"/>
    </row>
    <row r="2169" spans="4:16" x14ac:dyDescent="0.25"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P2169" s="6"/>
    </row>
    <row r="2170" spans="4:16" x14ac:dyDescent="0.25"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P2170" s="6"/>
    </row>
    <row r="2171" spans="4:16" x14ac:dyDescent="0.25"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P2171" s="6"/>
    </row>
    <row r="2172" spans="4:16" x14ac:dyDescent="0.25"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P2172" s="6"/>
    </row>
    <row r="2173" spans="4:16" x14ac:dyDescent="0.25"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P2173" s="6"/>
    </row>
    <row r="2174" spans="4:16" x14ac:dyDescent="0.25"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P2174" s="6"/>
    </row>
    <row r="2175" spans="4:16" x14ac:dyDescent="0.25"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P2175" s="6"/>
    </row>
    <row r="2176" spans="4:16" x14ac:dyDescent="0.25"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P2176" s="6"/>
    </row>
    <row r="2177" spans="4:16" x14ac:dyDescent="0.25"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P2177" s="6"/>
    </row>
    <row r="2178" spans="4:16" x14ac:dyDescent="0.25"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P2178" s="6"/>
    </row>
    <row r="2179" spans="4:16" x14ac:dyDescent="0.25"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P2179" s="6"/>
    </row>
    <row r="2180" spans="4:16" x14ac:dyDescent="0.25"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P2180" s="6"/>
    </row>
    <row r="2181" spans="4:16" x14ac:dyDescent="0.25"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P2181" s="6"/>
    </row>
    <row r="2182" spans="4:16" x14ac:dyDescent="0.25"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P2182" s="6"/>
    </row>
    <row r="2183" spans="4:16" x14ac:dyDescent="0.25"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P2183" s="6"/>
    </row>
    <row r="2184" spans="4:16" x14ac:dyDescent="0.25"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P2184" s="6"/>
    </row>
    <row r="2185" spans="4:16" x14ac:dyDescent="0.25"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P2185" s="6"/>
    </row>
    <row r="2186" spans="4:16" x14ac:dyDescent="0.25"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P2186" s="6"/>
    </row>
    <row r="2187" spans="4:16" x14ac:dyDescent="0.25"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P2187" s="6"/>
    </row>
    <row r="2188" spans="4:16" x14ac:dyDescent="0.25"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P2188" s="6"/>
    </row>
    <row r="2189" spans="4:16" x14ac:dyDescent="0.25"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P2189" s="6"/>
    </row>
    <row r="2190" spans="4:16" x14ac:dyDescent="0.25"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P2190" s="6"/>
    </row>
    <row r="2191" spans="4:16" x14ac:dyDescent="0.25"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P2191" s="6"/>
    </row>
    <row r="2192" spans="4:16" x14ac:dyDescent="0.25"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P2192" s="6"/>
    </row>
    <row r="2193" spans="4:16" x14ac:dyDescent="0.25"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P2193" s="6"/>
    </row>
    <row r="2194" spans="4:16" x14ac:dyDescent="0.25"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P2194" s="6"/>
    </row>
    <row r="2195" spans="4:16" x14ac:dyDescent="0.25"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P2195" s="6"/>
    </row>
    <row r="2196" spans="4:16" x14ac:dyDescent="0.25"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P2196" s="6"/>
    </row>
    <row r="2197" spans="4:16" x14ac:dyDescent="0.25"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P2197" s="6"/>
    </row>
    <row r="2198" spans="4:16" x14ac:dyDescent="0.25"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P2198" s="6"/>
    </row>
    <row r="2199" spans="4:16" x14ac:dyDescent="0.25"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P2199" s="6"/>
    </row>
    <row r="2200" spans="4:16" x14ac:dyDescent="0.25"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P2200" s="6"/>
    </row>
    <row r="2201" spans="4:16" x14ac:dyDescent="0.25"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P2201" s="6"/>
    </row>
    <row r="2202" spans="4:16" x14ac:dyDescent="0.25"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P2202" s="6"/>
    </row>
    <row r="2203" spans="4:16" x14ac:dyDescent="0.25"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P2203" s="6"/>
    </row>
    <row r="2204" spans="4:16" x14ac:dyDescent="0.25"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P2204" s="6"/>
    </row>
    <row r="2205" spans="4:16" x14ac:dyDescent="0.25"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P2205" s="6"/>
    </row>
    <row r="2206" spans="4:16" x14ac:dyDescent="0.25"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P2206" s="6"/>
    </row>
    <row r="2207" spans="4:16" x14ac:dyDescent="0.25"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P2207" s="6"/>
    </row>
    <row r="2208" spans="4:16" x14ac:dyDescent="0.25"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P2208" s="6"/>
    </row>
    <row r="2209" spans="4:16" x14ac:dyDescent="0.25"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P2209" s="6"/>
    </row>
    <row r="2210" spans="4:16" x14ac:dyDescent="0.25"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P2210" s="6"/>
    </row>
    <row r="2211" spans="4:16" x14ac:dyDescent="0.25"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P2211" s="6"/>
    </row>
    <row r="2212" spans="4:16" x14ac:dyDescent="0.25"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P2212" s="6"/>
    </row>
    <row r="2213" spans="4:16" x14ac:dyDescent="0.25"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P2213" s="6"/>
    </row>
    <row r="2214" spans="4:16" x14ac:dyDescent="0.25"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P2214" s="6"/>
    </row>
    <row r="2215" spans="4:16" x14ac:dyDescent="0.25"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P2215" s="6"/>
    </row>
    <row r="2216" spans="4:16" x14ac:dyDescent="0.25"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P2216" s="6"/>
    </row>
    <row r="2217" spans="4:16" x14ac:dyDescent="0.25"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P2217" s="6"/>
    </row>
    <row r="2218" spans="4:16" x14ac:dyDescent="0.25"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P2218" s="6"/>
    </row>
    <row r="2219" spans="4:16" x14ac:dyDescent="0.25"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P2219" s="6"/>
    </row>
    <row r="2220" spans="4:16" x14ac:dyDescent="0.25"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P2220" s="6"/>
    </row>
    <row r="2221" spans="4:16" x14ac:dyDescent="0.25"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P2221" s="6"/>
    </row>
    <row r="2222" spans="4:16" x14ac:dyDescent="0.25"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P2222" s="6"/>
    </row>
    <row r="2223" spans="4:16" x14ac:dyDescent="0.25"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P2223" s="6"/>
    </row>
    <row r="2224" spans="4:16" x14ac:dyDescent="0.25"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P2224" s="6"/>
    </row>
    <row r="2225" spans="4:16" x14ac:dyDescent="0.25"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P2225" s="6"/>
    </row>
    <row r="2226" spans="4:16" x14ac:dyDescent="0.25"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P2226" s="6"/>
    </row>
    <row r="2227" spans="4:16" x14ac:dyDescent="0.25"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P2227" s="6"/>
    </row>
    <row r="2228" spans="4:16" x14ac:dyDescent="0.25"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P2228" s="6"/>
    </row>
    <row r="2229" spans="4:16" x14ac:dyDescent="0.25"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P2229" s="6"/>
    </row>
    <row r="2230" spans="4:16" x14ac:dyDescent="0.25"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P2230" s="6"/>
    </row>
    <row r="2231" spans="4:16" x14ac:dyDescent="0.25"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P2231" s="6"/>
    </row>
    <row r="2232" spans="4:16" x14ac:dyDescent="0.25"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P2232" s="6"/>
    </row>
    <row r="2233" spans="4:16" x14ac:dyDescent="0.25"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P2233" s="6"/>
    </row>
    <row r="2234" spans="4:16" x14ac:dyDescent="0.25"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P2234" s="6"/>
    </row>
    <row r="2235" spans="4:16" x14ac:dyDescent="0.25"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P2235" s="6"/>
    </row>
    <row r="2236" spans="4:16" x14ac:dyDescent="0.25"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P2236" s="6"/>
    </row>
    <row r="2237" spans="4:16" x14ac:dyDescent="0.25"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P2237" s="6"/>
    </row>
    <row r="2238" spans="4:16" x14ac:dyDescent="0.25"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P2238" s="6"/>
    </row>
    <row r="2239" spans="4:16" x14ac:dyDescent="0.25"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P2239" s="6"/>
    </row>
    <row r="2240" spans="4:16" x14ac:dyDescent="0.25"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P2240" s="6"/>
    </row>
    <row r="2241" spans="4:16" x14ac:dyDescent="0.25"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P2241" s="6"/>
    </row>
    <row r="2242" spans="4:16" x14ac:dyDescent="0.25"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P2242" s="6"/>
    </row>
    <row r="2243" spans="4:16" x14ac:dyDescent="0.25"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P2243" s="6"/>
    </row>
    <row r="2244" spans="4:16" x14ac:dyDescent="0.25"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P2244" s="6"/>
    </row>
    <row r="2245" spans="4:16" x14ac:dyDescent="0.25"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P2245" s="6"/>
    </row>
    <row r="2246" spans="4:16" x14ac:dyDescent="0.25"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P2246" s="6"/>
    </row>
    <row r="2247" spans="4:16" x14ac:dyDescent="0.25"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P2247" s="6"/>
    </row>
    <row r="2248" spans="4:16" x14ac:dyDescent="0.25"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P2248" s="6"/>
    </row>
    <row r="2249" spans="4:16" x14ac:dyDescent="0.25"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P2249" s="6"/>
    </row>
    <row r="2250" spans="4:16" x14ac:dyDescent="0.25"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P2250" s="6"/>
    </row>
    <row r="2251" spans="4:16" x14ac:dyDescent="0.25"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P2251" s="6"/>
    </row>
    <row r="2252" spans="4:16" x14ac:dyDescent="0.25"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P2252" s="6"/>
    </row>
    <row r="2253" spans="4:16" x14ac:dyDescent="0.25"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P2253" s="6"/>
    </row>
    <row r="2254" spans="4:16" x14ac:dyDescent="0.25"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P2254" s="6"/>
    </row>
    <row r="2255" spans="4:16" x14ac:dyDescent="0.25"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P2255" s="6"/>
    </row>
    <row r="2256" spans="4:16" x14ac:dyDescent="0.25"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P2256" s="6"/>
    </row>
    <row r="2257" spans="4:16" x14ac:dyDescent="0.25"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P2257" s="6"/>
    </row>
    <row r="2258" spans="4:16" x14ac:dyDescent="0.25"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P2258" s="6"/>
    </row>
    <row r="2259" spans="4:16" x14ac:dyDescent="0.25"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P2259" s="6"/>
    </row>
    <row r="2260" spans="4:16" x14ac:dyDescent="0.25"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P2260" s="6"/>
    </row>
    <row r="2261" spans="4:16" x14ac:dyDescent="0.25"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P2261" s="6"/>
    </row>
    <row r="2262" spans="4:16" x14ac:dyDescent="0.25"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P2262" s="6"/>
    </row>
    <row r="2263" spans="4:16" x14ac:dyDescent="0.25"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P2263" s="6"/>
    </row>
    <row r="2264" spans="4:16" x14ac:dyDescent="0.25"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P2264" s="6"/>
    </row>
    <row r="2265" spans="4:16" x14ac:dyDescent="0.25"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P2265" s="6"/>
    </row>
    <row r="2266" spans="4:16" x14ac:dyDescent="0.25"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P2266" s="6"/>
    </row>
    <row r="2267" spans="4:16" x14ac:dyDescent="0.25"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P2267" s="6"/>
    </row>
    <row r="2268" spans="4:16" x14ac:dyDescent="0.25"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P2268" s="6"/>
    </row>
    <row r="2269" spans="4:16" x14ac:dyDescent="0.25"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P2269" s="6"/>
    </row>
    <row r="2270" spans="4:16" x14ac:dyDescent="0.25"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P2270" s="6"/>
    </row>
    <row r="2271" spans="4:16" x14ac:dyDescent="0.25"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P2271" s="6"/>
    </row>
    <row r="2272" spans="4:16" x14ac:dyDescent="0.25"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P2272" s="6"/>
    </row>
    <row r="2273" spans="4:16" x14ac:dyDescent="0.25"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P2273" s="6"/>
    </row>
    <row r="2274" spans="4:16" x14ac:dyDescent="0.25"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P2274" s="6"/>
    </row>
    <row r="2275" spans="4:16" x14ac:dyDescent="0.25"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P2275" s="6"/>
    </row>
    <row r="2276" spans="4:16" x14ac:dyDescent="0.25"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P2276" s="6"/>
    </row>
    <row r="2277" spans="4:16" x14ac:dyDescent="0.25"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P2277" s="6"/>
    </row>
    <row r="2278" spans="4:16" x14ac:dyDescent="0.25"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P2278" s="6"/>
    </row>
    <row r="2279" spans="4:16" x14ac:dyDescent="0.25"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P2279" s="6"/>
    </row>
    <row r="2280" spans="4:16" x14ac:dyDescent="0.25"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P2280" s="6"/>
    </row>
    <row r="2281" spans="4:16" x14ac:dyDescent="0.25"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P2281" s="6"/>
    </row>
    <row r="2282" spans="4:16" x14ac:dyDescent="0.25"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P2282" s="6"/>
    </row>
    <row r="2283" spans="4:16" x14ac:dyDescent="0.25"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P2283" s="6"/>
    </row>
    <row r="2284" spans="4:16" x14ac:dyDescent="0.25"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P2284" s="6"/>
    </row>
    <row r="2285" spans="4:16" x14ac:dyDescent="0.25"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P2285" s="6"/>
    </row>
    <row r="2286" spans="4:16" x14ac:dyDescent="0.25"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P2286" s="6"/>
    </row>
    <row r="2287" spans="4:16" x14ac:dyDescent="0.25"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P2287" s="6"/>
    </row>
    <row r="2288" spans="4:16" x14ac:dyDescent="0.25"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P2288" s="6"/>
    </row>
    <row r="2289" spans="4:16" x14ac:dyDescent="0.25"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P2289" s="6"/>
    </row>
    <row r="2290" spans="4:16" x14ac:dyDescent="0.25"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P2290" s="6"/>
    </row>
    <row r="2291" spans="4:16" x14ac:dyDescent="0.25"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P2291" s="6"/>
    </row>
    <row r="2292" spans="4:16" x14ac:dyDescent="0.25"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P2292" s="6"/>
    </row>
    <row r="2293" spans="4:16" x14ac:dyDescent="0.25"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P2293" s="6"/>
    </row>
    <row r="2294" spans="4:16" x14ac:dyDescent="0.25"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P2294" s="6"/>
    </row>
    <row r="2295" spans="4:16" x14ac:dyDescent="0.25"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P2295" s="6"/>
    </row>
    <row r="2296" spans="4:16" x14ac:dyDescent="0.25"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P2296" s="6"/>
    </row>
    <row r="2297" spans="4:16" x14ac:dyDescent="0.25"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P2297" s="6"/>
    </row>
    <row r="2298" spans="4:16" x14ac:dyDescent="0.25"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P2298" s="6"/>
    </row>
    <row r="2299" spans="4:16" x14ac:dyDescent="0.25"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P2299" s="6"/>
    </row>
    <row r="2300" spans="4:16" x14ac:dyDescent="0.25"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P2300" s="6"/>
    </row>
    <row r="2301" spans="4:16" x14ac:dyDescent="0.25"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P2301" s="6"/>
    </row>
    <row r="2302" spans="4:16" x14ac:dyDescent="0.25"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P2302" s="6"/>
    </row>
    <row r="2303" spans="4:16" x14ac:dyDescent="0.25"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P2303" s="6"/>
    </row>
    <row r="2304" spans="4:16" x14ac:dyDescent="0.25"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P2304" s="6"/>
    </row>
    <row r="2305" spans="4:16" x14ac:dyDescent="0.25"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P2305" s="6"/>
    </row>
    <row r="2306" spans="4:16" x14ac:dyDescent="0.25"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P2306" s="6"/>
    </row>
    <row r="2307" spans="4:16" x14ac:dyDescent="0.25"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P2307" s="6"/>
    </row>
    <row r="2308" spans="4:16" x14ac:dyDescent="0.25"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P2308" s="6"/>
    </row>
    <row r="2309" spans="4:16" x14ac:dyDescent="0.25"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P2309" s="6"/>
    </row>
    <row r="2310" spans="4:16" x14ac:dyDescent="0.25"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P2310" s="6"/>
    </row>
    <row r="2311" spans="4:16" x14ac:dyDescent="0.25"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P2311" s="6"/>
    </row>
    <row r="2312" spans="4:16" x14ac:dyDescent="0.25"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P2312" s="6"/>
    </row>
    <row r="2313" spans="4:16" x14ac:dyDescent="0.25"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P2313" s="6"/>
    </row>
    <row r="2314" spans="4:16" x14ac:dyDescent="0.25"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P2314" s="6"/>
    </row>
    <row r="2315" spans="4:16" x14ac:dyDescent="0.25"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P2315" s="6"/>
    </row>
    <row r="2316" spans="4:16" x14ac:dyDescent="0.25"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P2316" s="6"/>
    </row>
    <row r="2317" spans="4:16" x14ac:dyDescent="0.25"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P2317" s="6"/>
    </row>
    <row r="2318" spans="4:16" x14ac:dyDescent="0.25"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P2318" s="6"/>
    </row>
    <row r="2319" spans="4:16" x14ac:dyDescent="0.25"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P2319" s="6"/>
    </row>
    <row r="2320" spans="4:16" x14ac:dyDescent="0.25"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P2320" s="6"/>
    </row>
    <row r="2321" spans="4:16" x14ac:dyDescent="0.25"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P2321" s="6"/>
    </row>
    <row r="2322" spans="4:16" x14ac:dyDescent="0.25"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P2322" s="6"/>
    </row>
    <row r="2323" spans="4:16" x14ac:dyDescent="0.25"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P2323" s="6"/>
    </row>
    <row r="2324" spans="4:16" x14ac:dyDescent="0.25"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P2324" s="6"/>
    </row>
    <row r="2325" spans="4:16" x14ac:dyDescent="0.25"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P2325" s="6"/>
    </row>
    <row r="2326" spans="4:16" x14ac:dyDescent="0.25"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P2326" s="6"/>
    </row>
    <row r="2327" spans="4:16" x14ac:dyDescent="0.25"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P2327" s="6"/>
    </row>
    <row r="2328" spans="4:16" x14ac:dyDescent="0.25"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P2328" s="6"/>
    </row>
    <row r="2329" spans="4:16" x14ac:dyDescent="0.25"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P2329" s="6"/>
    </row>
    <row r="2330" spans="4:16" x14ac:dyDescent="0.25"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P2330" s="6"/>
    </row>
    <row r="2331" spans="4:16" x14ac:dyDescent="0.25"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P2331" s="6"/>
    </row>
    <row r="2332" spans="4:16" x14ac:dyDescent="0.25"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P2332" s="6"/>
    </row>
    <row r="2333" spans="4:16" x14ac:dyDescent="0.25"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P2333" s="6"/>
    </row>
    <row r="2334" spans="4:16" x14ac:dyDescent="0.25"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P2334" s="6"/>
    </row>
    <row r="2335" spans="4:16" x14ac:dyDescent="0.25"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P2335" s="6"/>
    </row>
    <row r="2336" spans="4:16" x14ac:dyDescent="0.25"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P2336" s="6"/>
    </row>
    <row r="2337" spans="4:16" x14ac:dyDescent="0.25"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P2337" s="6"/>
    </row>
    <row r="2338" spans="4:16" x14ac:dyDescent="0.25"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P2338" s="6"/>
    </row>
    <row r="2339" spans="4:16" x14ac:dyDescent="0.25"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P2339" s="6"/>
    </row>
    <row r="2340" spans="4:16" x14ac:dyDescent="0.25"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P2340" s="6"/>
    </row>
    <row r="2341" spans="4:16" x14ac:dyDescent="0.25"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P2341" s="6"/>
    </row>
    <row r="2342" spans="4:16" x14ac:dyDescent="0.25"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P2342" s="6"/>
    </row>
    <row r="2343" spans="4:16" x14ac:dyDescent="0.25"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P2343" s="6"/>
    </row>
    <row r="2344" spans="4:16" x14ac:dyDescent="0.25"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P2344" s="6"/>
    </row>
    <row r="2345" spans="4:16" x14ac:dyDescent="0.25"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P2345" s="6"/>
    </row>
    <row r="2346" spans="4:16" x14ac:dyDescent="0.25"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P2346" s="6"/>
    </row>
    <row r="2347" spans="4:16" x14ac:dyDescent="0.25"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P2347" s="6"/>
    </row>
    <row r="2348" spans="4:16" x14ac:dyDescent="0.25"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P2348" s="6"/>
    </row>
    <row r="2349" spans="4:16" x14ac:dyDescent="0.25"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P2349" s="6"/>
    </row>
    <row r="2350" spans="4:16" x14ac:dyDescent="0.25"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P2350" s="6"/>
    </row>
    <row r="2351" spans="4:16" x14ac:dyDescent="0.25"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P2351" s="6"/>
    </row>
    <row r="2352" spans="4:16" x14ac:dyDescent="0.25"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P2352" s="6"/>
    </row>
    <row r="2353" spans="4:16" x14ac:dyDescent="0.25"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P2353" s="6"/>
    </row>
    <row r="2354" spans="4:16" x14ac:dyDescent="0.25"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P2354" s="6"/>
    </row>
    <row r="2355" spans="4:16" x14ac:dyDescent="0.25"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P2355" s="6"/>
    </row>
    <row r="2356" spans="4:16" x14ac:dyDescent="0.25"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P2356" s="6"/>
    </row>
    <row r="2357" spans="4:16" x14ac:dyDescent="0.25"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P2357" s="6"/>
    </row>
    <row r="2358" spans="4:16" x14ac:dyDescent="0.25"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P2358" s="6"/>
    </row>
    <row r="2359" spans="4:16" x14ac:dyDescent="0.25"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P2359" s="6"/>
    </row>
    <row r="2360" spans="4:16" x14ac:dyDescent="0.25"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P2360" s="6"/>
    </row>
    <row r="2361" spans="4:16" x14ac:dyDescent="0.25"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P2361" s="6"/>
    </row>
    <row r="2362" spans="4:16" x14ac:dyDescent="0.25"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P2362" s="6"/>
    </row>
    <row r="2363" spans="4:16" x14ac:dyDescent="0.25"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P2363" s="6"/>
    </row>
    <row r="2364" spans="4:16" x14ac:dyDescent="0.25"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P2364" s="6"/>
    </row>
    <row r="2365" spans="4:16" x14ac:dyDescent="0.25"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P2365" s="6"/>
    </row>
    <row r="2366" spans="4:16" x14ac:dyDescent="0.25"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P2366" s="6"/>
    </row>
    <row r="2367" spans="4:16" x14ac:dyDescent="0.25"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P2367" s="6"/>
    </row>
    <row r="2368" spans="4:16" x14ac:dyDescent="0.25"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P2368" s="6"/>
    </row>
    <row r="2369" spans="4:16" x14ac:dyDescent="0.25"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P2369" s="6"/>
    </row>
    <row r="2370" spans="4:16" x14ac:dyDescent="0.25"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P2370" s="6"/>
    </row>
    <row r="2371" spans="4:16" x14ac:dyDescent="0.25"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P2371" s="6"/>
    </row>
    <row r="2372" spans="4:16" x14ac:dyDescent="0.25"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P2372" s="6"/>
    </row>
    <row r="2373" spans="4:16" x14ac:dyDescent="0.25"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P2373" s="6"/>
    </row>
    <row r="2374" spans="4:16" x14ac:dyDescent="0.25"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P2374" s="6"/>
    </row>
    <row r="2375" spans="4:16" x14ac:dyDescent="0.25"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P2375" s="6"/>
    </row>
    <row r="2376" spans="4:16" x14ac:dyDescent="0.25"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P2376" s="6"/>
    </row>
    <row r="2377" spans="4:16" x14ac:dyDescent="0.25"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P2377" s="6"/>
    </row>
    <row r="2378" spans="4:16" x14ac:dyDescent="0.25"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P2378" s="6"/>
    </row>
    <row r="2379" spans="4:16" x14ac:dyDescent="0.25"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P2379" s="6"/>
    </row>
    <row r="2380" spans="4:16" x14ac:dyDescent="0.25"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P2380" s="6"/>
    </row>
    <row r="2381" spans="4:16" x14ac:dyDescent="0.25"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P2381" s="6"/>
    </row>
    <row r="2382" spans="4:16" x14ac:dyDescent="0.25"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P2382" s="6"/>
    </row>
    <row r="2383" spans="4:16" x14ac:dyDescent="0.25"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P2383" s="6"/>
    </row>
    <row r="2384" spans="4:16" x14ac:dyDescent="0.25"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P2384" s="6"/>
    </row>
    <row r="2385" spans="4:16" x14ac:dyDescent="0.25"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P2385" s="6"/>
    </row>
    <row r="2386" spans="4:16" x14ac:dyDescent="0.25"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P2386" s="6"/>
    </row>
    <row r="2387" spans="4:16" x14ac:dyDescent="0.25"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P2387" s="6"/>
    </row>
    <row r="2388" spans="4:16" x14ac:dyDescent="0.25"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P2388" s="6"/>
    </row>
    <row r="2389" spans="4:16" x14ac:dyDescent="0.25"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P2389" s="6"/>
    </row>
    <row r="2390" spans="4:16" x14ac:dyDescent="0.25"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P2390" s="6"/>
    </row>
    <row r="2391" spans="4:16" x14ac:dyDescent="0.25"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P2391" s="6"/>
    </row>
    <row r="2392" spans="4:16" x14ac:dyDescent="0.25"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P2392" s="6"/>
    </row>
    <row r="2393" spans="4:16" x14ac:dyDescent="0.25"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P2393" s="6"/>
    </row>
    <row r="2394" spans="4:16" x14ac:dyDescent="0.25"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P2394" s="6"/>
    </row>
    <row r="2395" spans="4:16" x14ac:dyDescent="0.25"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P2395" s="6"/>
    </row>
    <row r="2396" spans="4:16" x14ac:dyDescent="0.25"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P2396" s="6"/>
    </row>
    <row r="2397" spans="4:16" x14ac:dyDescent="0.25"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P2397" s="6"/>
    </row>
    <row r="2398" spans="4:16" x14ac:dyDescent="0.25"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P2398" s="6"/>
    </row>
    <row r="2399" spans="4:16" x14ac:dyDescent="0.25"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P2399" s="6"/>
    </row>
    <row r="2400" spans="4:16" x14ac:dyDescent="0.25"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P2400" s="6"/>
    </row>
    <row r="2401" spans="4:16" x14ac:dyDescent="0.25"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P2401" s="6"/>
    </row>
    <row r="2402" spans="4:16" x14ac:dyDescent="0.25"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P2402" s="6"/>
    </row>
    <row r="2403" spans="4:16" x14ac:dyDescent="0.25"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P2403" s="6"/>
    </row>
    <row r="2404" spans="4:16" x14ac:dyDescent="0.25"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P2404" s="6"/>
    </row>
    <row r="2405" spans="4:16" x14ac:dyDescent="0.25"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P2405" s="6"/>
    </row>
    <row r="2406" spans="4:16" x14ac:dyDescent="0.25"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P2406" s="6"/>
    </row>
    <row r="2407" spans="4:16" x14ac:dyDescent="0.25"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P2407" s="6"/>
    </row>
    <row r="2408" spans="4:16" x14ac:dyDescent="0.25"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P2408" s="6"/>
    </row>
    <row r="2409" spans="4:16" x14ac:dyDescent="0.25"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P2409" s="6"/>
    </row>
    <row r="2410" spans="4:16" x14ac:dyDescent="0.25"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P2410" s="6"/>
    </row>
    <row r="2411" spans="4:16" x14ac:dyDescent="0.25"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P2411" s="6"/>
    </row>
    <row r="2412" spans="4:16" x14ac:dyDescent="0.25"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P2412" s="6"/>
    </row>
    <row r="2413" spans="4:16" x14ac:dyDescent="0.25"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P2413" s="6"/>
    </row>
    <row r="2414" spans="4:16" x14ac:dyDescent="0.25"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P2414" s="6"/>
    </row>
    <row r="2415" spans="4:16" x14ac:dyDescent="0.25"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P2415" s="6"/>
    </row>
    <row r="2416" spans="4:16" x14ac:dyDescent="0.25"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P2416" s="6"/>
    </row>
    <row r="2417" spans="4:16" x14ac:dyDescent="0.25"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P2417" s="6"/>
    </row>
    <row r="2418" spans="4:16" x14ac:dyDescent="0.25"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P2418" s="6"/>
    </row>
    <row r="2419" spans="4:16" x14ac:dyDescent="0.25"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P2419" s="6"/>
    </row>
    <row r="2420" spans="4:16" x14ac:dyDescent="0.25"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P2420" s="6"/>
    </row>
    <row r="2421" spans="4:16" x14ac:dyDescent="0.25"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P2421" s="6"/>
    </row>
    <row r="2422" spans="4:16" x14ac:dyDescent="0.25"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P2422" s="6"/>
    </row>
    <row r="2423" spans="4:16" x14ac:dyDescent="0.25"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P2423" s="6"/>
    </row>
    <row r="2424" spans="4:16" x14ac:dyDescent="0.25"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P2424" s="6"/>
    </row>
    <row r="2425" spans="4:16" x14ac:dyDescent="0.25"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P2425" s="6"/>
    </row>
    <row r="2426" spans="4:16" x14ac:dyDescent="0.25"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P2426" s="6"/>
    </row>
    <row r="2427" spans="4:16" x14ac:dyDescent="0.25"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P2427" s="6"/>
    </row>
    <row r="2428" spans="4:16" x14ac:dyDescent="0.25"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P2428" s="6"/>
    </row>
    <row r="2429" spans="4:16" x14ac:dyDescent="0.25"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P2429" s="6"/>
    </row>
    <row r="2430" spans="4:16" x14ac:dyDescent="0.25"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P2430" s="6"/>
    </row>
    <row r="2431" spans="4:16" x14ac:dyDescent="0.25"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P2431" s="6"/>
    </row>
    <row r="2432" spans="4:16" x14ac:dyDescent="0.25"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P2432" s="6"/>
    </row>
    <row r="2433" spans="4:16" x14ac:dyDescent="0.25"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P2433" s="6"/>
    </row>
    <row r="2434" spans="4:16" x14ac:dyDescent="0.25"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P2434" s="6"/>
    </row>
    <row r="2435" spans="4:16" x14ac:dyDescent="0.25"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P2435" s="6"/>
    </row>
    <row r="2436" spans="4:16" x14ac:dyDescent="0.25"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P2436" s="6"/>
    </row>
    <row r="2437" spans="4:16" x14ac:dyDescent="0.25"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P2437" s="6"/>
    </row>
    <row r="2438" spans="4:16" x14ac:dyDescent="0.25"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P2438" s="6"/>
    </row>
    <row r="2439" spans="4:16" x14ac:dyDescent="0.25"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P2439" s="6"/>
    </row>
    <row r="2440" spans="4:16" x14ac:dyDescent="0.25"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P2440" s="6"/>
    </row>
    <row r="2441" spans="4:16" x14ac:dyDescent="0.25"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P2441" s="6"/>
    </row>
    <row r="2442" spans="4:16" x14ac:dyDescent="0.25"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P2442" s="6"/>
    </row>
    <row r="2443" spans="4:16" x14ac:dyDescent="0.25"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P2443" s="6"/>
    </row>
    <row r="2444" spans="4:16" x14ac:dyDescent="0.25"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P2444" s="6"/>
    </row>
    <row r="2445" spans="4:16" x14ac:dyDescent="0.25"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P2445" s="6"/>
    </row>
    <row r="2446" spans="4:16" x14ac:dyDescent="0.25"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P2446" s="6"/>
    </row>
    <row r="2447" spans="4:16" x14ac:dyDescent="0.25"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P2447" s="6"/>
    </row>
    <row r="2448" spans="4:16" x14ac:dyDescent="0.25"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P2448" s="6"/>
    </row>
    <row r="2449" spans="4:16" x14ac:dyDescent="0.25"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P2449" s="6"/>
    </row>
    <row r="2450" spans="4:16" x14ac:dyDescent="0.25"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P2450" s="6"/>
    </row>
    <row r="2451" spans="4:16" x14ac:dyDescent="0.25"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P2451" s="6"/>
    </row>
    <row r="2452" spans="4:16" x14ac:dyDescent="0.25"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P2452" s="6"/>
    </row>
    <row r="2453" spans="4:16" x14ac:dyDescent="0.25"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P2453" s="6"/>
    </row>
    <row r="2454" spans="4:16" x14ac:dyDescent="0.25"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P2454" s="6"/>
    </row>
    <row r="2455" spans="4:16" x14ac:dyDescent="0.25"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P2455" s="6"/>
    </row>
    <row r="2456" spans="4:16" x14ac:dyDescent="0.25"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P2456" s="6"/>
    </row>
    <row r="2457" spans="4:16" x14ac:dyDescent="0.25"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P2457" s="6"/>
    </row>
    <row r="2458" spans="4:16" x14ac:dyDescent="0.25"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P2458" s="6"/>
    </row>
    <row r="2459" spans="4:16" x14ac:dyDescent="0.25"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P2459" s="6"/>
    </row>
    <row r="2460" spans="4:16" x14ac:dyDescent="0.25"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P2460" s="6"/>
    </row>
    <row r="2461" spans="4:16" x14ac:dyDescent="0.25"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P2461" s="6"/>
    </row>
    <row r="2462" spans="4:16" x14ac:dyDescent="0.25"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P2462" s="6"/>
    </row>
    <row r="2463" spans="4:16" x14ac:dyDescent="0.25"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P2463" s="6"/>
    </row>
    <row r="2464" spans="4:16" x14ac:dyDescent="0.25"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P2464" s="6"/>
    </row>
    <row r="2465" spans="4:16" x14ac:dyDescent="0.25"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P2465" s="6"/>
    </row>
    <row r="2466" spans="4:16" x14ac:dyDescent="0.25"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P2466" s="6"/>
    </row>
    <row r="2467" spans="4:16" x14ac:dyDescent="0.25"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P2467" s="6"/>
    </row>
    <row r="2468" spans="4:16" x14ac:dyDescent="0.25"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P2468" s="6"/>
    </row>
    <row r="2469" spans="4:16" x14ac:dyDescent="0.25"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P2469" s="6"/>
    </row>
    <row r="2470" spans="4:16" x14ac:dyDescent="0.25"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P2470" s="6"/>
    </row>
    <row r="2471" spans="4:16" x14ac:dyDescent="0.25"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P2471" s="6"/>
    </row>
    <row r="2472" spans="4:16" x14ac:dyDescent="0.25"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P2472" s="6"/>
    </row>
    <row r="2473" spans="4:16" x14ac:dyDescent="0.25"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P2473" s="6"/>
    </row>
    <row r="2474" spans="4:16" x14ac:dyDescent="0.25"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P2474" s="6"/>
    </row>
    <row r="2475" spans="4:16" x14ac:dyDescent="0.25"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P2475" s="6"/>
    </row>
    <row r="2476" spans="4:16" x14ac:dyDescent="0.25"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P2476" s="6"/>
    </row>
    <row r="2477" spans="4:16" x14ac:dyDescent="0.25"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P2477" s="6"/>
    </row>
    <row r="2478" spans="4:16" x14ac:dyDescent="0.25"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P2478" s="6"/>
    </row>
    <row r="2479" spans="4:16" x14ac:dyDescent="0.25"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P2479" s="6"/>
    </row>
    <row r="2480" spans="4:16" x14ac:dyDescent="0.25"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P2480" s="6"/>
    </row>
    <row r="2481" spans="4:16" x14ac:dyDescent="0.25"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P2481" s="6"/>
    </row>
    <row r="2482" spans="4:16" x14ac:dyDescent="0.25"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P2482" s="6"/>
    </row>
    <row r="2483" spans="4:16" x14ac:dyDescent="0.25"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P2483" s="6"/>
    </row>
    <row r="2484" spans="4:16" x14ac:dyDescent="0.25"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P2484" s="6"/>
    </row>
    <row r="2485" spans="4:16" x14ac:dyDescent="0.25"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P2485" s="6"/>
    </row>
    <row r="2486" spans="4:16" x14ac:dyDescent="0.25"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P2486" s="6"/>
    </row>
    <row r="2487" spans="4:16" x14ac:dyDescent="0.25"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P2487" s="6"/>
    </row>
    <row r="2488" spans="4:16" x14ac:dyDescent="0.25"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P2488" s="6"/>
    </row>
    <row r="2489" spans="4:16" x14ac:dyDescent="0.25"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P2489" s="6"/>
    </row>
    <row r="2490" spans="4:16" x14ac:dyDescent="0.25"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P2490" s="6"/>
    </row>
    <row r="2491" spans="4:16" x14ac:dyDescent="0.25"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P2491" s="6"/>
    </row>
    <row r="2492" spans="4:16" x14ac:dyDescent="0.25"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P2492" s="6"/>
    </row>
    <row r="2493" spans="4:16" x14ac:dyDescent="0.25"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P2493" s="6"/>
    </row>
    <row r="2494" spans="4:16" x14ac:dyDescent="0.25"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P2494" s="6"/>
    </row>
    <row r="2495" spans="4:16" x14ac:dyDescent="0.25"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P2495" s="6"/>
    </row>
    <row r="2496" spans="4:16" x14ac:dyDescent="0.25"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P2496" s="6"/>
    </row>
    <row r="2497" spans="4:16" x14ac:dyDescent="0.25"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P2497" s="6"/>
    </row>
    <row r="2498" spans="4:16" x14ac:dyDescent="0.25"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P2498" s="6"/>
    </row>
    <row r="2499" spans="4:16" x14ac:dyDescent="0.25"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P2499" s="6"/>
    </row>
    <row r="2500" spans="4:16" x14ac:dyDescent="0.25"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P2500" s="6"/>
    </row>
    <row r="2501" spans="4:16" x14ac:dyDescent="0.25"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P2501" s="6"/>
    </row>
    <row r="2502" spans="4:16" x14ac:dyDescent="0.25"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P2502" s="6"/>
    </row>
    <row r="2503" spans="4:16" x14ac:dyDescent="0.25"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P2503" s="6"/>
    </row>
    <row r="2504" spans="4:16" x14ac:dyDescent="0.25"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P2504" s="6"/>
    </row>
    <row r="2505" spans="4:16" x14ac:dyDescent="0.25"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P2505" s="6"/>
    </row>
    <row r="2506" spans="4:16" x14ac:dyDescent="0.25"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P2506" s="6"/>
    </row>
    <row r="2507" spans="4:16" x14ac:dyDescent="0.25"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P2507" s="6"/>
    </row>
    <row r="2508" spans="4:16" x14ac:dyDescent="0.25"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P2508" s="6"/>
    </row>
    <row r="2509" spans="4:16" x14ac:dyDescent="0.25"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P2509" s="6"/>
    </row>
    <row r="2510" spans="4:16" x14ac:dyDescent="0.25"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P2510" s="6"/>
    </row>
    <row r="2511" spans="4:16" x14ac:dyDescent="0.25"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P2511" s="6"/>
    </row>
    <row r="2512" spans="4:16" x14ac:dyDescent="0.25"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P2512" s="6"/>
    </row>
    <row r="2513" spans="4:16" x14ac:dyDescent="0.25"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P2513" s="6"/>
    </row>
    <row r="2514" spans="4:16" x14ac:dyDescent="0.25"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P2514" s="6"/>
    </row>
    <row r="2515" spans="4:16" x14ac:dyDescent="0.25"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P2515" s="6"/>
    </row>
    <row r="2516" spans="4:16" x14ac:dyDescent="0.25"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P2516" s="6"/>
    </row>
    <row r="2517" spans="4:16" x14ac:dyDescent="0.25"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P2517" s="6"/>
    </row>
    <row r="2518" spans="4:16" x14ac:dyDescent="0.25"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P2518" s="6"/>
    </row>
    <row r="2519" spans="4:16" x14ac:dyDescent="0.25"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P2519" s="6"/>
    </row>
    <row r="2520" spans="4:16" x14ac:dyDescent="0.25"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P2520" s="6"/>
    </row>
    <row r="2521" spans="4:16" x14ac:dyDescent="0.25"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P2521" s="6"/>
    </row>
    <row r="2522" spans="4:16" x14ac:dyDescent="0.25"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P2522" s="6"/>
    </row>
    <row r="2523" spans="4:16" x14ac:dyDescent="0.25"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P2523" s="6"/>
    </row>
    <row r="2524" spans="4:16" x14ac:dyDescent="0.25"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P2524" s="6"/>
    </row>
    <row r="2525" spans="4:16" x14ac:dyDescent="0.25"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P2525" s="6"/>
    </row>
    <row r="2526" spans="4:16" x14ac:dyDescent="0.25"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P2526" s="6"/>
    </row>
    <row r="2527" spans="4:16" x14ac:dyDescent="0.25"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P2527" s="6"/>
    </row>
    <row r="2528" spans="4:16" x14ac:dyDescent="0.25"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P2528" s="6"/>
    </row>
    <row r="2529" spans="4:16" x14ac:dyDescent="0.25"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P2529" s="6"/>
    </row>
    <row r="2530" spans="4:16" x14ac:dyDescent="0.25"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P2530" s="6"/>
    </row>
    <row r="2531" spans="4:16" x14ac:dyDescent="0.25"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P2531" s="6"/>
    </row>
    <row r="2532" spans="4:16" x14ac:dyDescent="0.25"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P2532" s="6"/>
    </row>
    <row r="2533" spans="4:16" x14ac:dyDescent="0.25"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P2533" s="6"/>
    </row>
    <row r="2534" spans="4:16" x14ac:dyDescent="0.25"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P2534" s="6"/>
    </row>
    <row r="2535" spans="4:16" x14ac:dyDescent="0.25"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P2535" s="6"/>
    </row>
    <row r="2536" spans="4:16" x14ac:dyDescent="0.25"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P2536" s="6"/>
    </row>
    <row r="2537" spans="4:16" x14ac:dyDescent="0.25"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P2537" s="6"/>
    </row>
    <row r="2538" spans="4:16" x14ac:dyDescent="0.25"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P2538" s="6"/>
    </row>
    <row r="2539" spans="4:16" x14ac:dyDescent="0.25"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P2539" s="6"/>
    </row>
    <row r="2540" spans="4:16" x14ac:dyDescent="0.25"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P2540" s="6"/>
    </row>
    <row r="2541" spans="4:16" x14ac:dyDescent="0.25"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P2541" s="6"/>
    </row>
    <row r="2542" spans="4:16" x14ac:dyDescent="0.25"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P2542" s="6"/>
    </row>
    <row r="2543" spans="4:16" x14ac:dyDescent="0.25"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P2543" s="6"/>
    </row>
    <row r="2544" spans="4:16" x14ac:dyDescent="0.25"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P2544" s="6"/>
    </row>
    <row r="2545" spans="4:16" x14ac:dyDescent="0.25"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P2545" s="6"/>
    </row>
    <row r="2546" spans="4:16" x14ac:dyDescent="0.25"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P2546" s="6"/>
    </row>
    <row r="2547" spans="4:16" x14ac:dyDescent="0.25"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P2547" s="6"/>
    </row>
    <row r="2548" spans="4:16" x14ac:dyDescent="0.25"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P2548" s="6"/>
    </row>
    <row r="2549" spans="4:16" x14ac:dyDescent="0.25"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P2549" s="6"/>
    </row>
    <row r="2550" spans="4:16" x14ac:dyDescent="0.25"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P2550" s="6"/>
    </row>
    <row r="2551" spans="4:16" x14ac:dyDescent="0.25"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P2551" s="6"/>
    </row>
    <row r="2552" spans="4:16" x14ac:dyDescent="0.25"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P2552" s="6"/>
    </row>
    <row r="2553" spans="4:16" x14ac:dyDescent="0.25"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P2553" s="6"/>
    </row>
    <row r="2554" spans="4:16" x14ac:dyDescent="0.25"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P2554" s="6"/>
    </row>
    <row r="2555" spans="4:16" x14ac:dyDescent="0.25"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P2555" s="6"/>
    </row>
    <row r="2556" spans="4:16" x14ac:dyDescent="0.25"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P2556" s="6"/>
    </row>
    <row r="2557" spans="4:16" x14ac:dyDescent="0.25"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P2557" s="6"/>
    </row>
    <row r="2558" spans="4:16" x14ac:dyDescent="0.25"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P2558" s="6"/>
    </row>
    <row r="2559" spans="4:16" x14ac:dyDescent="0.25"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P2559" s="6"/>
    </row>
    <row r="2560" spans="4:16" x14ac:dyDescent="0.25"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P2560" s="6"/>
    </row>
    <row r="2561" spans="4:16" x14ac:dyDescent="0.25"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P2561" s="6"/>
    </row>
    <row r="2562" spans="4:16" x14ac:dyDescent="0.25"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P2562" s="6"/>
    </row>
    <row r="2563" spans="4:16" x14ac:dyDescent="0.25"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P2563" s="6"/>
    </row>
    <row r="2564" spans="4:16" x14ac:dyDescent="0.25"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P2564" s="6"/>
    </row>
    <row r="2565" spans="4:16" x14ac:dyDescent="0.25"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P2565" s="6"/>
    </row>
    <row r="2566" spans="4:16" x14ac:dyDescent="0.25"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P2566" s="6"/>
    </row>
    <row r="2567" spans="4:16" x14ac:dyDescent="0.25"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P2567" s="6"/>
    </row>
    <row r="2568" spans="4:16" x14ac:dyDescent="0.25"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P2568" s="6"/>
    </row>
    <row r="2569" spans="4:16" x14ac:dyDescent="0.25"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P2569" s="6"/>
    </row>
    <row r="2570" spans="4:16" x14ac:dyDescent="0.25"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P2570" s="6"/>
    </row>
    <row r="2571" spans="4:16" x14ac:dyDescent="0.25"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P2571" s="6"/>
    </row>
    <row r="2572" spans="4:16" x14ac:dyDescent="0.25"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P2572" s="6"/>
    </row>
    <row r="2573" spans="4:16" x14ac:dyDescent="0.25"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P2573" s="6"/>
    </row>
    <row r="2574" spans="4:16" x14ac:dyDescent="0.25"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P2574" s="6"/>
    </row>
    <row r="2575" spans="4:16" x14ac:dyDescent="0.25"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P2575" s="6"/>
    </row>
    <row r="2576" spans="4:16" x14ac:dyDescent="0.25"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P2576" s="6"/>
    </row>
    <row r="2577" spans="4:16" x14ac:dyDescent="0.25"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P2577" s="6"/>
    </row>
    <row r="2578" spans="4:16" x14ac:dyDescent="0.25"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P2578" s="6"/>
    </row>
    <row r="2579" spans="4:16" x14ac:dyDescent="0.25"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P2579" s="6"/>
    </row>
    <row r="2580" spans="4:16" x14ac:dyDescent="0.25"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P2580" s="6"/>
    </row>
    <row r="2581" spans="4:16" x14ac:dyDescent="0.25"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P2581" s="6"/>
    </row>
    <row r="2582" spans="4:16" x14ac:dyDescent="0.25"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P2582" s="6"/>
    </row>
    <row r="2583" spans="4:16" x14ac:dyDescent="0.25"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P2583" s="6"/>
    </row>
    <row r="2584" spans="4:16" x14ac:dyDescent="0.25"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P2584" s="6"/>
    </row>
    <row r="2585" spans="4:16" x14ac:dyDescent="0.25"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P2585" s="6"/>
    </row>
    <row r="2586" spans="4:16" x14ac:dyDescent="0.25"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P2586" s="6"/>
    </row>
    <row r="2587" spans="4:16" x14ac:dyDescent="0.25"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P2587" s="6"/>
    </row>
    <row r="2588" spans="4:16" x14ac:dyDescent="0.25"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P2588" s="6"/>
    </row>
    <row r="2589" spans="4:16" x14ac:dyDescent="0.25"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P2589" s="6"/>
    </row>
    <row r="2590" spans="4:16" x14ac:dyDescent="0.25"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P2590" s="6"/>
    </row>
    <row r="2591" spans="4:16" x14ac:dyDescent="0.25"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P2591" s="6"/>
    </row>
    <row r="2592" spans="4:16" x14ac:dyDescent="0.25"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P2592" s="6"/>
    </row>
    <row r="2593" spans="4:16" x14ac:dyDescent="0.25"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P2593" s="6"/>
    </row>
    <row r="2594" spans="4:16" x14ac:dyDescent="0.25"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P2594" s="6"/>
    </row>
    <row r="2595" spans="4:16" x14ac:dyDescent="0.25"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P2595" s="6"/>
    </row>
    <row r="2596" spans="4:16" x14ac:dyDescent="0.25"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P2596" s="6"/>
    </row>
    <row r="2597" spans="4:16" x14ac:dyDescent="0.25"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P2597" s="6"/>
    </row>
    <row r="2598" spans="4:16" x14ac:dyDescent="0.25"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P2598" s="6"/>
    </row>
    <row r="2599" spans="4:16" x14ac:dyDescent="0.25"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P2599" s="6"/>
    </row>
    <row r="2600" spans="4:16" x14ac:dyDescent="0.25"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P2600" s="6"/>
    </row>
    <row r="2601" spans="4:16" x14ac:dyDescent="0.25"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P2601" s="6"/>
    </row>
    <row r="2602" spans="4:16" x14ac:dyDescent="0.25"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P2602" s="6"/>
    </row>
    <row r="2603" spans="4:16" x14ac:dyDescent="0.25"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P2603" s="6"/>
    </row>
    <row r="2604" spans="4:16" x14ac:dyDescent="0.25"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P2604" s="6"/>
    </row>
    <row r="2605" spans="4:16" x14ac:dyDescent="0.25"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P2605" s="6"/>
    </row>
    <row r="2606" spans="4:16" x14ac:dyDescent="0.25"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P2606" s="6"/>
    </row>
    <row r="2607" spans="4:16" x14ac:dyDescent="0.25"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P2607" s="6"/>
    </row>
    <row r="2608" spans="4:16" x14ac:dyDescent="0.25"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P2608" s="6"/>
    </row>
    <row r="2609" spans="4:16" x14ac:dyDescent="0.25"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P2609" s="6"/>
    </row>
    <row r="2610" spans="4:16" x14ac:dyDescent="0.25"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P2610" s="6"/>
    </row>
    <row r="2611" spans="4:16" x14ac:dyDescent="0.25"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P2611" s="6"/>
    </row>
    <row r="2612" spans="4:16" x14ac:dyDescent="0.25"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P2612" s="6"/>
    </row>
    <row r="2613" spans="4:16" x14ac:dyDescent="0.25"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P2613" s="6"/>
    </row>
    <row r="2614" spans="4:16" x14ac:dyDescent="0.25"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P2614" s="6"/>
    </row>
    <row r="2615" spans="4:16" x14ac:dyDescent="0.25"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P2615" s="6"/>
    </row>
    <row r="2616" spans="4:16" x14ac:dyDescent="0.25"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P2616" s="6"/>
    </row>
    <row r="2617" spans="4:16" x14ac:dyDescent="0.25"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P2617" s="6"/>
    </row>
    <row r="2618" spans="4:16" x14ac:dyDescent="0.25"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P2618" s="6"/>
    </row>
    <row r="2619" spans="4:16" x14ac:dyDescent="0.25"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P2619" s="6"/>
    </row>
    <row r="2620" spans="4:16" x14ac:dyDescent="0.25"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P2620" s="6"/>
    </row>
    <row r="2621" spans="4:16" x14ac:dyDescent="0.25"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P2621" s="6"/>
    </row>
    <row r="2622" spans="4:16" x14ac:dyDescent="0.25"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P2622" s="6"/>
    </row>
    <row r="2623" spans="4:16" x14ac:dyDescent="0.25"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P2623" s="6"/>
    </row>
    <row r="2624" spans="4:16" x14ac:dyDescent="0.25"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P2624" s="6"/>
    </row>
    <row r="2625" spans="4:16" x14ac:dyDescent="0.25"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P2625" s="6"/>
    </row>
    <row r="2626" spans="4:16" x14ac:dyDescent="0.25"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P2626" s="6"/>
    </row>
    <row r="2627" spans="4:16" x14ac:dyDescent="0.25"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P2627" s="6"/>
    </row>
    <row r="2628" spans="4:16" x14ac:dyDescent="0.25"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P2628" s="6"/>
    </row>
    <row r="2629" spans="4:16" x14ac:dyDescent="0.25"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P2629" s="6"/>
    </row>
    <row r="2630" spans="4:16" x14ac:dyDescent="0.25"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P2630" s="6"/>
    </row>
    <row r="2631" spans="4:16" x14ac:dyDescent="0.25"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P2631" s="6"/>
    </row>
    <row r="2632" spans="4:16" x14ac:dyDescent="0.25"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P2632" s="6"/>
    </row>
    <row r="2633" spans="4:16" x14ac:dyDescent="0.25"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P2633" s="6"/>
    </row>
    <row r="2634" spans="4:16" x14ac:dyDescent="0.25"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P2634" s="6"/>
    </row>
    <row r="2635" spans="4:16" x14ac:dyDescent="0.25"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P2635" s="6"/>
    </row>
    <row r="2636" spans="4:16" x14ac:dyDescent="0.25"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P2636" s="6"/>
    </row>
    <row r="2637" spans="4:16" x14ac:dyDescent="0.25"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P2637" s="6"/>
    </row>
    <row r="2638" spans="4:16" x14ac:dyDescent="0.25"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P2638" s="6"/>
    </row>
    <row r="2639" spans="4:16" x14ac:dyDescent="0.25"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P2639" s="6"/>
    </row>
    <row r="2640" spans="4:16" x14ac:dyDescent="0.25"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P2640" s="6"/>
    </row>
    <row r="2641" spans="4:16" x14ac:dyDescent="0.25"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P2641" s="6"/>
    </row>
    <row r="2642" spans="4:16" x14ac:dyDescent="0.25"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P2642" s="6"/>
    </row>
    <row r="2643" spans="4:16" x14ac:dyDescent="0.25"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P2643" s="6"/>
    </row>
    <row r="2644" spans="4:16" x14ac:dyDescent="0.25"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P2644" s="6"/>
    </row>
    <row r="2645" spans="4:16" x14ac:dyDescent="0.25"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P2645" s="6"/>
    </row>
    <row r="2646" spans="4:16" x14ac:dyDescent="0.25"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P2646" s="6"/>
    </row>
    <row r="2647" spans="4:16" x14ac:dyDescent="0.25"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P2647" s="6"/>
    </row>
    <row r="2648" spans="4:16" x14ac:dyDescent="0.25"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P2648" s="6"/>
    </row>
    <row r="2649" spans="4:16" x14ac:dyDescent="0.25"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P2649" s="6"/>
    </row>
    <row r="2650" spans="4:16" x14ac:dyDescent="0.25"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P2650" s="6"/>
    </row>
    <row r="2651" spans="4:16" x14ac:dyDescent="0.25"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P2651" s="6"/>
    </row>
    <row r="2652" spans="4:16" x14ac:dyDescent="0.25"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P2652" s="6"/>
    </row>
    <row r="2653" spans="4:16" x14ac:dyDescent="0.25"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P2653" s="6"/>
    </row>
    <row r="2654" spans="4:16" x14ac:dyDescent="0.25"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P2654" s="6"/>
    </row>
    <row r="2655" spans="4:16" x14ac:dyDescent="0.25"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P2655" s="6"/>
    </row>
    <row r="2656" spans="4:16" x14ac:dyDescent="0.25"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P2656" s="6"/>
    </row>
    <row r="2657" spans="4:16" x14ac:dyDescent="0.25"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P2657" s="6"/>
    </row>
    <row r="2658" spans="4:16" x14ac:dyDescent="0.25"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P2658" s="6"/>
    </row>
    <row r="2659" spans="4:16" x14ac:dyDescent="0.25"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P2659" s="6"/>
    </row>
    <row r="2660" spans="4:16" x14ac:dyDescent="0.25"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P2660" s="6"/>
    </row>
    <row r="2661" spans="4:16" x14ac:dyDescent="0.25"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P2661" s="6"/>
    </row>
    <row r="2662" spans="4:16" x14ac:dyDescent="0.25"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P2662" s="6"/>
    </row>
    <row r="2663" spans="4:16" x14ac:dyDescent="0.25"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P2663" s="6"/>
    </row>
    <row r="2664" spans="4:16" x14ac:dyDescent="0.25"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P2664" s="6"/>
    </row>
    <row r="2665" spans="4:16" x14ac:dyDescent="0.25"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P2665" s="6"/>
    </row>
    <row r="2666" spans="4:16" x14ac:dyDescent="0.25"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P2666" s="6"/>
    </row>
    <row r="2667" spans="4:16" x14ac:dyDescent="0.25"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P2667" s="6"/>
    </row>
    <row r="2668" spans="4:16" x14ac:dyDescent="0.25"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P2668" s="6"/>
    </row>
    <row r="2669" spans="4:16" x14ac:dyDescent="0.25"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P2669" s="6"/>
    </row>
    <row r="2670" spans="4:16" x14ac:dyDescent="0.25"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P2670" s="6"/>
    </row>
    <row r="2671" spans="4:16" x14ac:dyDescent="0.25"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P2671" s="6"/>
    </row>
    <row r="2672" spans="4:16" x14ac:dyDescent="0.25"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P2672" s="6"/>
    </row>
    <row r="2673" spans="4:16" x14ac:dyDescent="0.25"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P2673" s="6"/>
    </row>
    <row r="2674" spans="4:16" x14ac:dyDescent="0.25"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P2674" s="6"/>
    </row>
    <row r="2675" spans="4:16" x14ac:dyDescent="0.25"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P2675" s="6"/>
    </row>
    <row r="2676" spans="4:16" x14ac:dyDescent="0.25"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P2676" s="6"/>
    </row>
    <row r="2677" spans="4:16" x14ac:dyDescent="0.25"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P2677" s="6"/>
    </row>
    <row r="2678" spans="4:16" x14ac:dyDescent="0.25"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P2678" s="6"/>
    </row>
    <row r="2679" spans="4:16" x14ac:dyDescent="0.25"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P2679" s="6"/>
    </row>
    <row r="2680" spans="4:16" x14ac:dyDescent="0.25"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P2680" s="6"/>
    </row>
    <row r="2681" spans="4:16" x14ac:dyDescent="0.25"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P2681" s="6"/>
    </row>
    <row r="2682" spans="4:16" x14ac:dyDescent="0.25"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P2682" s="6"/>
    </row>
    <row r="2683" spans="4:16" x14ac:dyDescent="0.25"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P2683" s="6"/>
    </row>
    <row r="2684" spans="4:16" x14ac:dyDescent="0.25"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P2684" s="6"/>
    </row>
    <row r="2685" spans="4:16" x14ac:dyDescent="0.25"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P2685" s="6"/>
    </row>
    <row r="2686" spans="4:16" x14ac:dyDescent="0.25"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P2686" s="6"/>
    </row>
    <row r="2687" spans="4:16" x14ac:dyDescent="0.25"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P2687" s="6"/>
    </row>
    <row r="2688" spans="4:16" x14ac:dyDescent="0.25"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P2688" s="6"/>
    </row>
    <row r="2689" spans="4:16" x14ac:dyDescent="0.25"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P2689" s="6"/>
    </row>
    <row r="2690" spans="4:16" x14ac:dyDescent="0.25"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P2690" s="6"/>
    </row>
    <row r="2691" spans="4:16" x14ac:dyDescent="0.25"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P2691" s="6"/>
    </row>
    <row r="2692" spans="4:16" x14ac:dyDescent="0.25"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P2692" s="6"/>
    </row>
    <row r="2693" spans="4:16" x14ac:dyDescent="0.25"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P2693" s="6"/>
    </row>
    <row r="2694" spans="4:16" x14ac:dyDescent="0.25"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P2694" s="6"/>
    </row>
    <row r="2695" spans="4:16" x14ac:dyDescent="0.25"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P2695" s="6"/>
    </row>
    <row r="2696" spans="4:16" x14ac:dyDescent="0.25"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P2696" s="6"/>
    </row>
    <row r="2697" spans="4:16" x14ac:dyDescent="0.25"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P2697" s="6"/>
    </row>
    <row r="2698" spans="4:16" x14ac:dyDescent="0.25"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P2698" s="6"/>
    </row>
    <row r="2699" spans="4:16" x14ac:dyDescent="0.25"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P2699" s="6"/>
    </row>
    <row r="2700" spans="4:16" x14ac:dyDescent="0.25"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P2700" s="6"/>
    </row>
    <row r="2701" spans="4:16" x14ac:dyDescent="0.25"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P2701" s="6"/>
    </row>
    <row r="2702" spans="4:16" x14ac:dyDescent="0.25"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P2702" s="6"/>
    </row>
    <row r="2703" spans="4:16" x14ac:dyDescent="0.25"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P2703" s="6"/>
    </row>
    <row r="2704" spans="4:16" x14ac:dyDescent="0.25"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P2704" s="6"/>
    </row>
    <row r="2705" spans="4:16" x14ac:dyDescent="0.25"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P2705" s="6"/>
    </row>
    <row r="2706" spans="4:16" x14ac:dyDescent="0.25"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P2706" s="6"/>
    </row>
    <row r="2707" spans="4:16" x14ac:dyDescent="0.25"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P2707" s="6"/>
    </row>
    <row r="2708" spans="4:16" x14ac:dyDescent="0.25"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P2708" s="6"/>
    </row>
    <row r="2709" spans="4:16" x14ac:dyDescent="0.25"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P2709" s="6"/>
    </row>
    <row r="2710" spans="4:16" x14ac:dyDescent="0.25"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P2710" s="6"/>
    </row>
    <row r="2711" spans="4:16" x14ac:dyDescent="0.25"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P2711" s="6"/>
    </row>
    <row r="2712" spans="4:16" x14ac:dyDescent="0.25"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P2712" s="6"/>
    </row>
    <row r="2713" spans="4:16" x14ac:dyDescent="0.25"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P2713" s="6"/>
    </row>
    <row r="2714" spans="4:16" x14ac:dyDescent="0.25"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P2714" s="6"/>
    </row>
    <row r="2715" spans="4:16" x14ac:dyDescent="0.25"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P2715" s="6"/>
    </row>
    <row r="2716" spans="4:16" x14ac:dyDescent="0.25"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P2716" s="6"/>
    </row>
    <row r="2717" spans="4:16" x14ac:dyDescent="0.25"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P2717" s="6"/>
    </row>
    <row r="2718" spans="4:16" x14ac:dyDescent="0.25"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P2718" s="6"/>
    </row>
    <row r="2719" spans="4:16" x14ac:dyDescent="0.25"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P2719" s="6"/>
    </row>
    <row r="2720" spans="4:16" x14ac:dyDescent="0.25"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P2720" s="6"/>
    </row>
    <row r="2721" spans="4:16" x14ac:dyDescent="0.25"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P2721" s="6"/>
    </row>
    <row r="2722" spans="4:16" x14ac:dyDescent="0.25"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P2722" s="6"/>
    </row>
    <row r="2723" spans="4:16" x14ac:dyDescent="0.25"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P2723" s="6"/>
    </row>
    <row r="2724" spans="4:16" x14ac:dyDescent="0.25"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P2724" s="6"/>
    </row>
    <row r="2725" spans="4:16" x14ac:dyDescent="0.25"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P2725" s="6"/>
    </row>
    <row r="2726" spans="4:16" x14ac:dyDescent="0.25"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P2726" s="6"/>
    </row>
    <row r="2727" spans="4:16" x14ac:dyDescent="0.25"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P2727" s="6"/>
    </row>
    <row r="2728" spans="4:16" x14ac:dyDescent="0.25"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P2728" s="6"/>
    </row>
    <row r="2729" spans="4:16" x14ac:dyDescent="0.25"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P2729" s="6"/>
    </row>
    <row r="2730" spans="4:16" x14ac:dyDescent="0.25"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P2730" s="6"/>
    </row>
    <row r="2731" spans="4:16" x14ac:dyDescent="0.25"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P2731" s="6"/>
    </row>
    <row r="2732" spans="4:16" x14ac:dyDescent="0.25"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P2732" s="6"/>
    </row>
    <row r="2733" spans="4:16" x14ac:dyDescent="0.25"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P2733" s="6"/>
    </row>
    <row r="2734" spans="4:16" x14ac:dyDescent="0.25"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P2734" s="6"/>
    </row>
    <row r="2735" spans="4:16" x14ac:dyDescent="0.25"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P2735" s="6"/>
    </row>
    <row r="2736" spans="4:16" x14ac:dyDescent="0.25"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P2736" s="6"/>
    </row>
    <row r="2737" spans="4:16" x14ac:dyDescent="0.25"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P2737" s="6"/>
    </row>
    <row r="2738" spans="4:16" x14ac:dyDescent="0.25"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P2738" s="6"/>
    </row>
    <row r="2739" spans="4:16" x14ac:dyDescent="0.25"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P2739" s="6"/>
    </row>
    <row r="2740" spans="4:16" x14ac:dyDescent="0.25"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P2740" s="6"/>
    </row>
    <row r="2741" spans="4:16" x14ac:dyDescent="0.25"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P2741" s="6"/>
    </row>
    <row r="2742" spans="4:16" x14ac:dyDescent="0.25"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P2742" s="6"/>
    </row>
    <row r="2743" spans="4:16" x14ac:dyDescent="0.25"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P2743" s="6"/>
    </row>
    <row r="2744" spans="4:16" x14ac:dyDescent="0.25"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P2744" s="6"/>
    </row>
    <row r="2745" spans="4:16" x14ac:dyDescent="0.25"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P2745" s="6"/>
    </row>
    <row r="2746" spans="4:16" x14ac:dyDescent="0.25"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P2746" s="6"/>
    </row>
    <row r="2747" spans="4:16" x14ac:dyDescent="0.25"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P2747" s="6"/>
    </row>
    <row r="2748" spans="4:16" x14ac:dyDescent="0.25"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P2748" s="6"/>
    </row>
    <row r="2749" spans="4:16" x14ac:dyDescent="0.25"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P2749" s="6"/>
    </row>
    <row r="2750" spans="4:16" x14ac:dyDescent="0.25"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P2750" s="6"/>
    </row>
    <row r="2751" spans="4:16" x14ac:dyDescent="0.25"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P2751" s="6"/>
    </row>
    <row r="2752" spans="4:16" x14ac:dyDescent="0.25"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P2752" s="6"/>
    </row>
    <row r="2753" spans="4:16" x14ac:dyDescent="0.25"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P2753" s="6"/>
    </row>
    <row r="2754" spans="4:16" x14ac:dyDescent="0.25"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P2754" s="6"/>
    </row>
    <row r="2755" spans="4:16" x14ac:dyDescent="0.25"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P2755" s="6"/>
    </row>
    <row r="2756" spans="4:16" x14ac:dyDescent="0.25"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P2756" s="6"/>
    </row>
    <row r="2757" spans="4:16" x14ac:dyDescent="0.25"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P2757" s="6"/>
    </row>
    <row r="2758" spans="4:16" x14ac:dyDescent="0.25"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P2758" s="6"/>
    </row>
    <row r="2759" spans="4:16" x14ac:dyDescent="0.25"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P2759" s="6"/>
    </row>
    <row r="2760" spans="4:16" x14ac:dyDescent="0.25"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P2760" s="6"/>
    </row>
    <row r="2761" spans="4:16" x14ac:dyDescent="0.25"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P2761" s="6"/>
    </row>
    <row r="2762" spans="4:16" x14ac:dyDescent="0.25"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P2762" s="6"/>
    </row>
    <row r="2763" spans="4:16" x14ac:dyDescent="0.25"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P2763" s="6"/>
    </row>
    <row r="2764" spans="4:16" x14ac:dyDescent="0.25"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P2764" s="6"/>
    </row>
    <row r="2765" spans="4:16" x14ac:dyDescent="0.25"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P2765" s="6"/>
    </row>
    <row r="2766" spans="4:16" x14ac:dyDescent="0.25"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P2766" s="6"/>
    </row>
    <row r="2767" spans="4:16" x14ac:dyDescent="0.25"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P2767" s="6"/>
    </row>
    <row r="2768" spans="4:16" x14ac:dyDescent="0.25"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P2768" s="6"/>
    </row>
    <row r="2769" spans="4:16" x14ac:dyDescent="0.25"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P2769" s="6"/>
    </row>
    <row r="2770" spans="4:16" x14ac:dyDescent="0.25"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P2770" s="6"/>
    </row>
    <row r="2771" spans="4:16" x14ac:dyDescent="0.25"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P2771" s="6"/>
    </row>
    <row r="2772" spans="4:16" x14ac:dyDescent="0.25"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P2772" s="6"/>
    </row>
    <row r="2773" spans="4:16" x14ac:dyDescent="0.25"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P2773" s="6"/>
    </row>
    <row r="2774" spans="4:16" x14ac:dyDescent="0.25"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P2774" s="6"/>
    </row>
    <row r="2775" spans="4:16" x14ac:dyDescent="0.25"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P2775" s="6"/>
    </row>
    <row r="2776" spans="4:16" x14ac:dyDescent="0.25"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P2776" s="6"/>
    </row>
    <row r="2777" spans="4:16" x14ac:dyDescent="0.25"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P2777" s="6"/>
    </row>
    <row r="2778" spans="4:16" x14ac:dyDescent="0.25"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P2778" s="6"/>
    </row>
    <row r="2779" spans="4:16" x14ac:dyDescent="0.25"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P2779" s="6"/>
    </row>
    <row r="2780" spans="4:16" x14ac:dyDescent="0.25"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P2780" s="6"/>
    </row>
    <row r="2781" spans="4:16" x14ac:dyDescent="0.25"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P2781" s="6"/>
    </row>
    <row r="2782" spans="4:16" x14ac:dyDescent="0.25"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P2782" s="6"/>
    </row>
    <row r="2783" spans="4:16" x14ac:dyDescent="0.25"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P2783" s="6"/>
    </row>
    <row r="2784" spans="4:16" x14ac:dyDescent="0.25"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P2784" s="6"/>
    </row>
    <row r="2785" spans="4:16" x14ac:dyDescent="0.25"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P2785" s="6"/>
    </row>
    <row r="2786" spans="4:16" x14ac:dyDescent="0.25"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P2786" s="6"/>
    </row>
    <row r="2787" spans="4:16" x14ac:dyDescent="0.25"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P2787" s="6"/>
    </row>
    <row r="2788" spans="4:16" x14ac:dyDescent="0.25"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P2788" s="6"/>
    </row>
    <row r="2789" spans="4:16" x14ac:dyDescent="0.25"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P2789" s="6"/>
    </row>
    <row r="2790" spans="4:16" x14ac:dyDescent="0.25"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P2790" s="6"/>
    </row>
    <row r="2791" spans="4:16" x14ac:dyDescent="0.25"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P2791" s="6"/>
    </row>
    <row r="2792" spans="4:16" x14ac:dyDescent="0.25"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P2792" s="6"/>
    </row>
    <row r="2793" spans="4:16" x14ac:dyDescent="0.25"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P2793" s="6"/>
    </row>
    <row r="2794" spans="4:16" x14ac:dyDescent="0.25"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P2794" s="6"/>
    </row>
    <row r="2795" spans="4:16" x14ac:dyDescent="0.25"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P2795" s="6"/>
    </row>
    <row r="2796" spans="4:16" x14ac:dyDescent="0.25"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P2796" s="6"/>
    </row>
    <row r="2797" spans="4:16" x14ac:dyDescent="0.25"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P2797" s="6"/>
    </row>
    <row r="2798" spans="4:16" x14ac:dyDescent="0.25"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P2798" s="6"/>
    </row>
    <row r="2799" spans="4:16" x14ac:dyDescent="0.25"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P2799" s="6"/>
    </row>
    <row r="2800" spans="4:16" x14ac:dyDescent="0.25"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P2800" s="6"/>
    </row>
    <row r="2801" spans="4:16" x14ac:dyDescent="0.25"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P2801" s="6"/>
    </row>
    <row r="2802" spans="4:16" x14ac:dyDescent="0.25"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P2802" s="6"/>
    </row>
    <row r="2803" spans="4:16" x14ac:dyDescent="0.25"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P2803" s="6"/>
    </row>
    <row r="2804" spans="4:16" x14ac:dyDescent="0.25"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P2804" s="6"/>
    </row>
    <row r="2805" spans="4:16" x14ac:dyDescent="0.25"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P2805" s="6"/>
    </row>
    <row r="2806" spans="4:16" x14ac:dyDescent="0.25"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P2806" s="6"/>
    </row>
    <row r="2807" spans="4:16" x14ac:dyDescent="0.25"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P2807" s="6"/>
    </row>
    <row r="2808" spans="4:16" x14ac:dyDescent="0.25"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P2808" s="6"/>
    </row>
    <row r="2809" spans="4:16" x14ac:dyDescent="0.25"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P2809" s="6"/>
    </row>
    <row r="2810" spans="4:16" x14ac:dyDescent="0.25"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P2810" s="6"/>
    </row>
    <row r="2811" spans="4:16" x14ac:dyDescent="0.25"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P2811" s="6"/>
    </row>
    <row r="2812" spans="4:16" x14ac:dyDescent="0.25"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P2812" s="6"/>
    </row>
    <row r="2813" spans="4:16" x14ac:dyDescent="0.25"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P2813" s="6"/>
    </row>
    <row r="2814" spans="4:16" x14ac:dyDescent="0.25"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P2814" s="6"/>
    </row>
    <row r="2815" spans="4:16" x14ac:dyDescent="0.25"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P2815" s="6"/>
    </row>
    <row r="2816" spans="4:16" x14ac:dyDescent="0.25"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P2816" s="6"/>
    </row>
    <row r="2817" spans="4:16" x14ac:dyDescent="0.25"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P2817" s="6"/>
    </row>
    <row r="2818" spans="4:16" x14ac:dyDescent="0.25"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P2818" s="6"/>
    </row>
    <row r="2819" spans="4:16" x14ac:dyDescent="0.25"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P2819" s="6"/>
    </row>
    <row r="2820" spans="4:16" x14ac:dyDescent="0.25"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P2820" s="6"/>
    </row>
    <row r="2821" spans="4:16" x14ac:dyDescent="0.25"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P2821" s="6"/>
    </row>
    <row r="2822" spans="4:16" x14ac:dyDescent="0.25"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P2822" s="6"/>
    </row>
    <row r="2823" spans="4:16" x14ac:dyDescent="0.25"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P2823" s="6"/>
    </row>
    <row r="2824" spans="4:16" x14ac:dyDescent="0.25"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P2824" s="6"/>
    </row>
    <row r="2825" spans="4:16" x14ac:dyDescent="0.25"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P2825" s="6"/>
    </row>
    <row r="2826" spans="4:16" x14ac:dyDescent="0.25"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P2826" s="6"/>
    </row>
    <row r="2827" spans="4:16" x14ac:dyDescent="0.25"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P2827" s="6"/>
    </row>
    <row r="2828" spans="4:16" x14ac:dyDescent="0.25"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P2828" s="6"/>
    </row>
    <row r="2829" spans="4:16" x14ac:dyDescent="0.25"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P2829" s="6"/>
    </row>
    <row r="2830" spans="4:16" x14ac:dyDescent="0.25"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P2830" s="6"/>
    </row>
    <row r="2831" spans="4:16" x14ac:dyDescent="0.25"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P2831" s="6"/>
    </row>
    <row r="2832" spans="4:16" x14ac:dyDescent="0.25"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P2832" s="6"/>
    </row>
    <row r="2833" spans="4:16" x14ac:dyDescent="0.25"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P2833" s="6"/>
    </row>
    <row r="2834" spans="4:16" x14ac:dyDescent="0.25"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P2834" s="6"/>
    </row>
    <row r="2835" spans="4:16" x14ac:dyDescent="0.25"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P2835" s="6"/>
    </row>
    <row r="2836" spans="4:16" x14ac:dyDescent="0.25"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P2836" s="6"/>
    </row>
    <row r="2837" spans="4:16" x14ac:dyDescent="0.25"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P2837" s="6"/>
    </row>
    <row r="2838" spans="4:16" x14ac:dyDescent="0.25"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P2838" s="6"/>
    </row>
    <row r="2839" spans="4:16" x14ac:dyDescent="0.25"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P2839" s="6"/>
    </row>
    <row r="2840" spans="4:16" x14ac:dyDescent="0.25"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P2840" s="6"/>
    </row>
    <row r="2841" spans="4:16" x14ac:dyDescent="0.25"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P2841" s="6"/>
    </row>
    <row r="2842" spans="4:16" x14ac:dyDescent="0.25"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P2842" s="6"/>
    </row>
    <row r="2843" spans="4:16" x14ac:dyDescent="0.25"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P2843" s="6"/>
    </row>
    <row r="2844" spans="4:16" x14ac:dyDescent="0.25"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P2844" s="6"/>
    </row>
    <row r="2845" spans="4:16" x14ac:dyDescent="0.25"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P2845" s="6"/>
    </row>
    <row r="2846" spans="4:16" x14ac:dyDescent="0.25"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P2846" s="6"/>
    </row>
    <row r="2847" spans="4:16" x14ac:dyDescent="0.25"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P2847" s="6"/>
    </row>
    <row r="2848" spans="4:16" x14ac:dyDescent="0.25"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P2848" s="6"/>
    </row>
    <row r="2849" spans="4:16" x14ac:dyDescent="0.25"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P2849" s="6"/>
    </row>
    <row r="2850" spans="4:16" x14ac:dyDescent="0.25"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P2850" s="6"/>
    </row>
    <row r="2851" spans="4:16" x14ac:dyDescent="0.25"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P2851" s="6"/>
    </row>
    <row r="2852" spans="4:16" x14ac:dyDescent="0.25"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P2852" s="6"/>
    </row>
    <row r="2853" spans="4:16" x14ac:dyDescent="0.25"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P2853" s="6"/>
    </row>
    <row r="2854" spans="4:16" x14ac:dyDescent="0.25"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P2854" s="6"/>
    </row>
    <row r="2855" spans="4:16" x14ac:dyDescent="0.25"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P2855" s="6"/>
    </row>
    <row r="2856" spans="4:16" x14ac:dyDescent="0.25"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P2856" s="6"/>
    </row>
    <row r="2857" spans="4:16" x14ac:dyDescent="0.25"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P2857" s="6"/>
    </row>
    <row r="2858" spans="4:16" x14ac:dyDescent="0.25"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P2858" s="6"/>
    </row>
    <row r="2859" spans="4:16" x14ac:dyDescent="0.25"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P2859" s="6"/>
    </row>
    <row r="2860" spans="4:16" x14ac:dyDescent="0.25"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P2860" s="6"/>
    </row>
    <row r="2861" spans="4:16" x14ac:dyDescent="0.25"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P2861" s="6"/>
    </row>
    <row r="2862" spans="4:16" x14ac:dyDescent="0.25"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P2862" s="6"/>
    </row>
    <row r="2863" spans="4:16" x14ac:dyDescent="0.25"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P2863" s="6"/>
    </row>
    <row r="2864" spans="4:16" x14ac:dyDescent="0.25"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P2864" s="6"/>
    </row>
    <row r="2865" spans="4:16" x14ac:dyDescent="0.25"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P2865" s="6"/>
    </row>
    <row r="2866" spans="4:16" x14ac:dyDescent="0.25"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P2866" s="6"/>
    </row>
    <row r="2867" spans="4:16" x14ac:dyDescent="0.25"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P2867" s="6"/>
    </row>
    <row r="2868" spans="4:16" x14ac:dyDescent="0.25"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P2868" s="6"/>
    </row>
    <row r="2869" spans="4:16" x14ac:dyDescent="0.25"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P2869" s="6"/>
    </row>
    <row r="2870" spans="4:16" x14ac:dyDescent="0.25"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P2870" s="6"/>
    </row>
    <row r="2871" spans="4:16" x14ac:dyDescent="0.25"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P2871" s="6"/>
    </row>
    <row r="2872" spans="4:16" x14ac:dyDescent="0.25"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P2872" s="6"/>
    </row>
    <row r="2873" spans="4:16" x14ac:dyDescent="0.25"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P2873" s="6"/>
    </row>
    <row r="2874" spans="4:16" x14ac:dyDescent="0.25"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P2874" s="6"/>
    </row>
    <row r="2875" spans="4:16" x14ac:dyDescent="0.25"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P2875" s="6"/>
    </row>
    <row r="2876" spans="4:16" x14ac:dyDescent="0.25"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P2876" s="6"/>
    </row>
    <row r="2877" spans="4:16" x14ac:dyDescent="0.25"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P2877" s="6"/>
    </row>
    <row r="2878" spans="4:16" x14ac:dyDescent="0.25"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P2878" s="6"/>
    </row>
    <row r="2879" spans="4:16" x14ac:dyDescent="0.25"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P2879" s="6"/>
    </row>
    <row r="2880" spans="4:16" x14ac:dyDescent="0.25"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P2880" s="6"/>
    </row>
    <row r="2881" spans="4:16" x14ac:dyDescent="0.25"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P2881" s="6"/>
    </row>
    <row r="2882" spans="4:16" x14ac:dyDescent="0.25"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P2882" s="6"/>
    </row>
    <row r="2883" spans="4:16" x14ac:dyDescent="0.25"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P2883" s="6"/>
    </row>
    <row r="2884" spans="4:16" x14ac:dyDescent="0.25"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P2884" s="6"/>
    </row>
    <row r="2885" spans="4:16" x14ac:dyDescent="0.25"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P2885" s="6"/>
    </row>
    <row r="2886" spans="4:16" x14ac:dyDescent="0.25"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P2886" s="6"/>
    </row>
    <row r="2887" spans="4:16" x14ac:dyDescent="0.25"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P2887" s="6"/>
    </row>
    <row r="2888" spans="4:16" x14ac:dyDescent="0.25"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P2888" s="6"/>
    </row>
    <row r="2889" spans="4:16" x14ac:dyDescent="0.25"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P2889" s="6"/>
    </row>
    <row r="2890" spans="4:16" x14ac:dyDescent="0.25"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P2890" s="6"/>
    </row>
    <row r="2891" spans="4:16" x14ac:dyDescent="0.25"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P2891" s="6"/>
    </row>
    <row r="2892" spans="4:16" x14ac:dyDescent="0.25"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P2892" s="6"/>
    </row>
    <row r="2893" spans="4:16" x14ac:dyDescent="0.25"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P2893" s="6"/>
    </row>
    <row r="2894" spans="4:16" x14ac:dyDescent="0.25"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P2894" s="6"/>
    </row>
    <row r="2895" spans="4:16" x14ac:dyDescent="0.25"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P2895" s="6"/>
    </row>
    <row r="2896" spans="4:16" x14ac:dyDescent="0.25"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P2896" s="6"/>
    </row>
    <row r="2897" spans="4:16" x14ac:dyDescent="0.25"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P2897" s="6"/>
    </row>
    <row r="2898" spans="4:16" x14ac:dyDescent="0.25"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P2898" s="6"/>
    </row>
    <row r="2899" spans="4:16" x14ac:dyDescent="0.25"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P2899" s="6"/>
    </row>
    <row r="2900" spans="4:16" x14ac:dyDescent="0.25"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P2900" s="6"/>
    </row>
    <row r="2901" spans="4:16" x14ac:dyDescent="0.25"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P2901" s="6"/>
    </row>
    <row r="2902" spans="4:16" x14ac:dyDescent="0.25"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P2902" s="6"/>
    </row>
    <row r="2903" spans="4:16" x14ac:dyDescent="0.25"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P2903" s="6"/>
    </row>
    <row r="2904" spans="4:16" x14ac:dyDescent="0.25"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P2904" s="6"/>
    </row>
    <row r="2905" spans="4:16" x14ac:dyDescent="0.25"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P2905" s="6"/>
    </row>
    <row r="2906" spans="4:16" x14ac:dyDescent="0.25"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P2906" s="6"/>
    </row>
    <row r="2907" spans="4:16" x14ac:dyDescent="0.25"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P2907" s="6"/>
    </row>
    <row r="2908" spans="4:16" x14ac:dyDescent="0.25"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P2908" s="6"/>
    </row>
    <row r="2909" spans="4:16" x14ac:dyDescent="0.25"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P2909" s="6"/>
    </row>
    <row r="2910" spans="4:16" x14ac:dyDescent="0.25"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P2910" s="6"/>
    </row>
    <row r="2911" spans="4:16" x14ac:dyDescent="0.25"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P2911" s="6"/>
    </row>
    <row r="2912" spans="4:16" x14ac:dyDescent="0.25"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P2912" s="6"/>
    </row>
    <row r="2913" spans="4:16" x14ac:dyDescent="0.25"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P2913" s="6"/>
    </row>
    <row r="2914" spans="4:16" x14ac:dyDescent="0.25"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P2914" s="6"/>
    </row>
    <row r="2915" spans="4:16" x14ac:dyDescent="0.25"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P2915" s="6"/>
    </row>
    <row r="2916" spans="4:16" x14ac:dyDescent="0.25"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P2916" s="6"/>
    </row>
    <row r="2917" spans="4:16" x14ac:dyDescent="0.25"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P2917" s="6"/>
    </row>
    <row r="2918" spans="4:16" x14ac:dyDescent="0.25"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P2918" s="6"/>
    </row>
    <row r="2919" spans="4:16" x14ac:dyDescent="0.25"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P2919" s="6"/>
    </row>
    <row r="2920" spans="4:16" x14ac:dyDescent="0.25"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P2920" s="6"/>
    </row>
    <row r="2921" spans="4:16" x14ac:dyDescent="0.25"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P2921" s="6"/>
    </row>
    <row r="2922" spans="4:16" x14ac:dyDescent="0.25"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P2922" s="6"/>
    </row>
    <row r="2923" spans="4:16" x14ac:dyDescent="0.25"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P2923" s="6"/>
    </row>
    <row r="2924" spans="4:16" x14ac:dyDescent="0.25"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P2924" s="6"/>
    </row>
    <row r="2925" spans="4:16" x14ac:dyDescent="0.25"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P2925" s="6"/>
    </row>
    <row r="2926" spans="4:16" x14ac:dyDescent="0.25"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P2926" s="6"/>
    </row>
    <row r="2927" spans="4:16" x14ac:dyDescent="0.25"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P2927" s="6"/>
    </row>
    <row r="2928" spans="4:16" x14ac:dyDescent="0.25"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P2928" s="6"/>
    </row>
    <row r="2929" spans="4:16" x14ac:dyDescent="0.25"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P2929" s="6"/>
    </row>
    <row r="2930" spans="4:16" x14ac:dyDescent="0.25"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P2930" s="6"/>
    </row>
    <row r="2931" spans="4:16" x14ac:dyDescent="0.25"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P2931" s="6"/>
    </row>
    <row r="2932" spans="4:16" x14ac:dyDescent="0.25"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P2932" s="6"/>
    </row>
    <row r="2933" spans="4:16" x14ac:dyDescent="0.25"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P2933" s="6"/>
    </row>
    <row r="2934" spans="4:16" x14ac:dyDescent="0.25"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P2934" s="6"/>
    </row>
    <row r="2935" spans="4:16" x14ac:dyDescent="0.25"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P2935" s="6"/>
    </row>
    <row r="2936" spans="4:16" x14ac:dyDescent="0.25"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P2936" s="6"/>
    </row>
    <row r="2937" spans="4:16" x14ac:dyDescent="0.25"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P2937" s="6"/>
    </row>
    <row r="2938" spans="4:16" x14ac:dyDescent="0.25"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P2938" s="6"/>
    </row>
    <row r="2939" spans="4:16" x14ac:dyDescent="0.25"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P2939" s="6"/>
    </row>
    <row r="2940" spans="4:16" x14ac:dyDescent="0.25"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P2940" s="6"/>
    </row>
    <row r="2941" spans="4:16" x14ac:dyDescent="0.25"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P2941" s="6"/>
    </row>
    <row r="2942" spans="4:16" x14ac:dyDescent="0.25"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P2942" s="6"/>
    </row>
    <row r="2943" spans="4:16" x14ac:dyDescent="0.25"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P2943" s="6"/>
    </row>
    <row r="2944" spans="4:16" x14ac:dyDescent="0.25"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P2944" s="6"/>
    </row>
    <row r="2945" spans="4:16" x14ac:dyDescent="0.25"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P2945" s="6"/>
    </row>
    <row r="2946" spans="4:16" x14ac:dyDescent="0.25"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P2946" s="6"/>
    </row>
    <row r="2947" spans="4:16" x14ac:dyDescent="0.25"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P2947" s="6"/>
    </row>
    <row r="2948" spans="4:16" x14ac:dyDescent="0.25"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P2948" s="6"/>
    </row>
    <row r="2949" spans="4:16" x14ac:dyDescent="0.25"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P2949" s="6"/>
    </row>
    <row r="2950" spans="4:16" x14ac:dyDescent="0.25"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P2950" s="6"/>
    </row>
    <row r="2951" spans="4:16" x14ac:dyDescent="0.25"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P2951" s="6"/>
    </row>
    <row r="2952" spans="4:16" x14ac:dyDescent="0.25"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P2952" s="6"/>
    </row>
    <row r="2953" spans="4:16" x14ac:dyDescent="0.25"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P2953" s="6"/>
    </row>
    <row r="2954" spans="4:16" x14ac:dyDescent="0.25"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P2954" s="6"/>
    </row>
    <row r="2955" spans="4:16" x14ac:dyDescent="0.25"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P2955" s="6"/>
    </row>
    <row r="2956" spans="4:16" x14ac:dyDescent="0.25"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P2956" s="6"/>
    </row>
    <row r="2957" spans="4:16" x14ac:dyDescent="0.25"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P2957" s="6"/>
    </row>
    <row r="2958" spans="4:16" x14ac:dyDescent="0.25"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P2958" s="6"/>
    </row>
    <row r="2959" spans="4:16" x14ac:dyDescent="0.25"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P2959" s="6"/>
    </row>
    <row r="2960" spans="4:16" x14ac:dyDescent="0.25"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P2960" s="6"/>
    </row>
    <row r="2961" spans="4:16" x14ac:dyDescent="0.25"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P2961" s="6"/>
    </row>
    <row r="2962" spans="4:16" x14ac:dyDescent="0.25"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P2962" s="6"/>
    </row>
    <row r="2963" spans="4:16" x14ac:dyDescent="0.25"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P2963" s="6"/>
    </row>
    <row r="2964" spans="4:16" x14ac:dyDescent="0.25"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P2964" s="6"/>
    </row>
    <row r="2965" spans="4:16" x14ac:dyDescent="0.25"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P2965" s="6"/>
    </row>
    <row r="2966" spans="4:16" x14ac:dyDescent="0.25"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P2966" s="6"/>
    </row>
    <row r="2967" spans="4:16" x14ac:dyDescent="0.25"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P2967" s="6"/>
    </row>
    <row r="2968" spans="4:16" x14ac:dyDescent="0.25"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P2968" s="6"/>
    </row>
    <row r="2969" spans="4:16" x14ac:dyDescent="0.25"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P2969" s="6"/>
    </row>
    <row r="2970" spans="4:16" x14ac:dyDescent="0.25"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P2970" s="6"/>
    </row>
    <row r="2971" spans="4:16" x14ac:dyDescent="0.25"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P2971" s="6"/>
    </row>
    <row r="2972" spans="4:16" x14ac:dyDescent="0.25"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P2972" s="6"/>
    </row>
    <row r="2973" spans="4:16" x14ac:dyDescent="0.25"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P2973" s="6"/>
    </row>
    <row r="2974" spans="4:16" x14ac:dyDescent="0.25"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P2974" s="6"/>
    </row>
    <row r="2975" spans="4:16" x14ac:dyDescent="0.25"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P2975" s="6"/>
    </row>
    <row r="2976" spans="4:16" x14ac:dyDescent="0.25"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P2976" s="6"/>
    </row>
    <row r="2977" spans="4:16" x14ac:dyDescent="0.25"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P2977" s="6"/>
    </row>
    <row r="2978" spans="4:16" x14ac:dyDescent="0.25"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P2978" s="6"/>
    </row>
    <row r="2979" spans="4:16" x14ac:dyDescent="0.25"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P2979" s="6"/>
    </row>
    <row r="2980" spans="4:16" x14ac:dyDescent="0.25"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P2980" s="6"/>
    </row>
    <row r="2981" spans="4:16" x14ac:dyDescent="0.25"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P2981" s="6"/>
    </row>
    <row r="2982" spans="4:16" x14ac:dyDescent="0.25"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P2982" s="6"/>
    </row>
    <row r="2983" spans="4:16" x14ac:dyDescent="0.25"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P2983" s="6"/>
    </row>
    <row r="2984" spans="4:16" x14ac:dyDescent="0.25"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P2984" s="6"/>
    </row>
    <row r="2985" spans="4:16" x14ac:dyDescent="0.25"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P2985" s="6"/>
    </row>
    <row r="2986" spans="4:16" x14ac:dyDescent="0.25"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P2986" s="6"/>
    </row>
    <row r="2987" spans="4:16" x14ac:dyDescent="0.25"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P2987" s="6"/>
    </row>
    <row r="2988" spans="4:16" x14ac:dyDescent="0.25"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P2988" s="6"/>
    </row>
    <row r="2989" spans="4:16" x14ac:dyDescent="0.25"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P2989" s="6"/>
    </row>
    <row r="2990" spans="4:16" x14ac:dyDescent="0.25"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P2990" s="6"/>
    </row>
    <row r="2991" spans="4:16" x14ac:dyDescent="0.25"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P2991" s="6"/>
    </row>
    <row r="2992" spans="4:16" x14ac:dyDescent="0.25"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P2992" s="6"/>
    </row>
    <row r="2993" spans="4:16" x14ac:dyDescent="0.25"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P2993" s="6"/>
    </row>
    <row r="2994" spans="4:16" x14ac:dyDescent="0.25"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P2994" s="6"/>
    </row>
    <row r="2995" spans="4:16" x14ac:dyDescent="0.25"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P2995" s="6"/>
    </row>
    <row r="2996" spans="4:16" x14ac:dyDescent="0.25"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P2996" s="6"/>
    </row>
    <row r="2997" spans="4:16" x14ac:dyDescent="0.25"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P2997" s="6"/>
    </row>
    <row r="2998" spans="4:16" x14ac:dyDescent="0.25"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P2998" s="6"/>
    </row>
    <row r="2999" spans="4:16" x14ac:dyDescent="0.25"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P2999" s="6"/>
    </row>
    <row r="3000" spans="4:16" x14ac:dyDescent="0.25"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P3000" s="6"/>
    </row>
    <row r="3001" spans="4:16" x14ac:dyDescent="0.25">
      <c r="H3001"/>
      <c r="J3001"/>
      <c r="K3001"/>
      <c r="L3001"/>
    </row>
    <row r="3002" spans="4:16" x14ac:dyDescent="0.25">
      <c r="H3002"/>
      <c r="J3002"/>
      <c r="K3002"/>
      <c r="L3002"/>
    </row>
    <row r="3003" spans="4:16" x14ac:dyDescent="0.25">
      <c r="H3003"/>
      <c r="J3003"/>
      <c r="K3003"/>
      <c r="L3003"/>
    </row>
    <row r="3004" spans="4:16" x14ac:dyDescent="0.25">
      <c r="H3004"/>
      <c r="J3004"/>
      <c r="K3004"/>
      <c r="L3004"/>
    </row>
    <row r="3005" spans="4:16" x14ac:dyDescent="0.25">
      <c r="H3005"/>
      <c r="J3005"/>
      <c r="K3005"/>
      <c r="L3005"/>
    </row>
    <row r="3006" spans="4:16" x14ac:dyDescent="0.25">
      <c r="H3006"/>
      <c r="J3006"/>
      <c r="K3006"/>
      <c r="L3006"/>
    </row>
    <row r="3007" spans="4:16" x14ac:dyDescent="0.25">
      <c r="H3007"/>
      <c r="J3007"/>
      <c r="K3007"/>
      <c r="L3007"/>
    </row>
    <row r="3008" spans="4:16" x14ac:dyDescent="0.25">
      <c r="H3008"/>
      <c r="J3008"/>
      <c r="K3008"/>
      <c r="L3008"/>
    </row>
    <row r="3009" spans="8:12" x14ac:dyDescent="0.25">
      <c r="H3009"/>
      <c r="J3009"/>
      <c r="K3009"/>
      <c r="L3009"/>
    </row>
    <row r="3010" spans="8:12" x14ac:dyDescent="0.25">
      <c r="H3010"/>
      <c r="J3010"/>
      <c r="K3010"/>
      <c r="L3010"/>
    </row>
    <row r="3011" spans="8:12" x14ac:dyDescent="0.25">
      <c r="H3011"/>
      <c r="J3011"/>
      <c r="K3011"/>
      <c r="L3011"/>
    </row>
    <row r="3012" spans="8:12" x14ac:dyDescent="0.25">
      <c r="H3012"/>
      <c r="J3012"/>
      <c r="K3012"/>
      <c r="L3012"/>
    </row>
    <row r="3013" spans="8:12" x14ac:dyDescent="0.25">
      <c r="H3013"/>
      <c r="J3013"/>
      <c r="K3013"/>
      <c r="L3013"/>
    </row>
    <row r="3014" spans="8:12" x14ac:dyDescent="0.25">
      <c r="H3014"/>
      <c r="J3014"/>
      <c r="K3014"/>
      <c r="L3014"/>
    </row>
    <row r="3015" spans="8:12" x14ac:dyDescent="0.25">
      <c r="H3015"/>
      <c r="J3015"/>
      <c r="K3015"/>
      <c r="L3015"/>
    </row>
    <row r="3016" spans="8:12" x14ac:dyDescent="0.25">
      <c r="H3016"/>
      <c r="J3016"/>
      <c r="K3016"/>
      <c r="L3016"/>
    </row>
    <row r="3017" spans="8:12" x14ac:dyDescent="0.25">
      <c r="H3017"/>
      <c r="J3017"/>
      <c r="K3017"/>
      <c r="L3017"/>
    </row>
    <row r="3018" spans="8:12" x14ac:dyDescent="0.25">
      <c r="H3018"/>
      <c r="J3018"/>
      <c r="K3018"/>
      <c r="L3018"/>
    </row>
    <row r="3019" spans="8:12" x14ac:dyDescent="0.25">
      <c r="H3019"/>
      <c r="J3019"/>
      <c r="K3019"/>
      <c r="L3019"/>
    </row>
    <row r="3020" spans="8:12" x14ac:dyDescent="0.25">
      <c r="H3020"/>
      <c r="J3020"/>
      <c r="K3020"/>
      <c r="L3020"/>
    </row>
    <row r="3021" spans="8:12" x14ac:dyDescent="0.25">
      <c r="H3021"/>
      <c r="J3021"/>
      <c r="K3021"/>
      <c r="L3021"/>
    </row>
    <row r="3022" spans="8:12" x14ac:dyDescent="0.25">
      <c r="H3022"/>
      <c r="J3022"/>
      <c r="K3022"/>
      <c r="L3022"/>
    </row>
    <row r="3023" spans="8:12" x14ac:dyDescent="0.25">
      <c r="H3023"/>
      <c r="J3023"/>
      <c r="K3023"/>
      <c r="L3023"/>
    </row>
    <row r="3024" spans="8:12" x14ac:dyDescent="0.25">
      <c r="H3024"/>
      <c r="J3024"/>
      <c r="K3024"/>
      <c r="L3024"/>
    </row>
    <row r="3025" spans="8:12" x14ac:dyDescent="0.25">
      <c r="H3025"/>
      <c r="J3025"/>
      <c r="K3025"/>
      <c r="L3025"/>
    </row>
    <row r="3026" spans="8:12" x14ac:dyDescent="0.25">
      <c r="H3026"/>
      <c r="J3026"/>
      <c r="K3026"/>
      <c r="L3026"/>
    </row>
    <row r="3027" spans="8:12" x14ac:dyDescent="0.25">
      <c r="H3027"/>
      <c r="J3027"/>
      <c r="K3027"/>
      <c r="L3027"/>
    </row>
    <row r="3028" spans="8:12" x14ac:dyDescent="0.25">
      <c r="H3028"/>
      <c r="J3028"/>
      <c r="K3028"/>
      <c r="L3028"/>
    </row>
    <row r="3029" spans="8:12" x14ac:dyDescent="0.25">
      <c r="H3029"/>
      <c r="J3029"/>
      <c r="K3029"/>
      <c r="L3029"/>
    </row>
    <row r="3030" spans="8:12" x14ac:dyDescent="0.25">
      <c r="H3030"/>
      <c r="J3030"/>
      <c r="K3030"/>
      <c r="L3030"/>
    </row>
    <row r="3031" spans="8:12" x14ac:dyDescent="0.25">
      <c r="H3031"/>
      <c r="J3031"/>
      <c r="K3031"/>
      <c r="L3031"/>
    </row>
    <row r="3032" spans="8:12" x14ac:dyDescent="0.25">
      <c r="H3032"/>
      <c r="J3032"/>
      <c r="K3032"/>
      <c r="L3032"/>
    </row>
    <row r="3033" spans="8:12" x14ac:dyDescent="0.25">
      <c r="H3033"/>
      <c r="J3033"/>
      <c r="K3033"/>
      <c r="L3033"/>
    </row>
    <row r="3034" spans="8:12" x14ac:dyDescent="0.25">
      <c r="H3034"/>
      <c r="J3034"/>
      <c r="K3034"/>
      <c r="L3034"/>
    </row>
    <row r="3035" spans="8:12" x14ac:dyDescent="0.25">
      <c r="H3035"/>
      <c r="J3035"/>
      <c r="K3035"/>
      <c r="L3035"/>
    </row>
    <row r="3036" spans="8:12" x14ac:dyDescent="0.25">
      <c r="H3036"/>
      <c r="J3036"/>
      <c r="K3036"/>
      <c r="L3036"/>
    </row>
    <row r="3037" spans="8:12" x14ac:dyDescent="0.25">
      <c r="H3037"/>
      <c r="J3037"/>
      <c r="K3037"/>
      <c r="L3037"/>
    </row>
    <row r="3038" spans="8:12" x14ac:dyDescent="0.25">
      <c r="H3038"/>
      <c r="J3038"/>
      <c r="K3038"/>
      <c r="L3038"/>
    </row>
    <row r="3039" spans="8:12" x14ac:dyDescent="0.25">
      <c r="H3039"/>
      <c r="J3039"/>
      <c r="K3039"/>
      <c r="L3039"/>
    </row>
    <row r="3040" spans="8:12" x14ac:dyDescent="0.25">
      <c r="H3040"/>
      <c r="J3040"/>
      <c r="K3040"/>
      <c r="L3040"/>
    </row>
    <row r="3041" spans="8:12" x14ac:dyDescent="0.25">
      <c r="H3041"/>
      <c r="J3041"/>
      <c r="K3041"/>
      <c r="L3041"/>
    </row>
    <row r="3042" spans="8:12" x14ac:dyDescent="0.25">
      <c r="H3042"/>
      <c r="J3042"/>
      <c r="K3042"/>
      <c r="L3042"/>
    </row>
    <row r="3043" spans="8:12" x14ac:dyDescent="0.25">
      <c r="H3043"/>
      <c r="J3043"/>
      <c r="K3043"/>
      <c r="L3043"/>
    </row>
    <row r="3044" spans="8:12" x14ac:dyDescent="0.25">
      <c r="H3044"/>
      <c r="J3044"/>
      <c r="K3044"/>
      <c r="L3044"/>
    </row>
    <row r="3045" spans="8:12" x14ac:dyDescent="0.25">
      <c r="H3045"/>
      <c r="J3045"/>
      <c r="K3045"/>
      <c r="L3045"/>
    </row>
    <row r="3046" spans="8:12" x14ac:dyDescent="0.25">
      <c r="H3046"/>
      <c r="J3046"/>
      <c r="K3046"/>
      <c r="L3046"/>
    </row>
    <row r="3047" spans="8:12" x14ac:dyDescent="0.25">
      <c r="H3047"/>
      <c r="J3047"/>
      <c r="K3047"/>
      <c r="L3047"/>
    </row>
    <row r="3048" spans="8:12" x14ac:dyDescent="0.25">
      <c r="H3048"/>
      <c r="J3048"/>
      <c r="K3048"/>
      <c r="L3048"/>
    </row>
    <row r="3049" spans="8:12" x14ac:dyDescent="0.25">
      <c r="H3049"/>
      <c r="J3049"/>
      <c r="K3049"/>
      <c r="L3049"/>
    </row>
    <row r="3050" spans="8:12" x14ac:dyDescent="0.25">
      <c r="H3050"/>
      <c r="J3050"/>
      <c r="K3050"/>
      <c r="L3050"/>
    </row>
  </sheetData>
  <autoFilter ref="D2:O494" xr:uid="{00000000-0009-0000-0000-000001000000}"/>
  <sortState xmlns:xlrd2="http://schemas.microsoft.com/office/spreadsheetml/2017/richdata2" ref="F3:F52">
    <sortCondition ref="F3"/>
  </sortState>
  <dataConsolidate/>
  <mergeCells count="2">
    <mergeCell ref="A2:B6"/>
    <mergeCell ref="A16:B16"/>
  </mergeCells>
  <dataValidations count="1">
    <dataValidation type="whole" operator="greaterThan" allowBlank="1" showInputMessage="1" showErrorMessage="1" sqref="B9" xr:uid="{00000000-0002-0000-0100-000000000000}">
      <formula1>0</formula1>
    </dataValidation>
  </dataValidations>
  <hyperlinks>
    <hyperlink ref="A16" r:id="rId1" xr:uid="{00000000-0004-0000-0100-000000000000}"/>
    <hyperlink ref="A21" r:id="rId2" xr:uid="{00000000-0004-0000-0100-000001000000}"/>
  </hyperlinks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6" name="Button 1">
              <controlPr defaultSize="0" print="0" autoFill="0" autoPict="0" macro="[0]!Generate_BOData">
                <anchor moveWithCells="1" sizeWithCells="1">
                  <from>
                    <xdr:col>2</xdr:col>
                    <xdr:colOff>66675</xdr:colOff>
                    <xdr:row>1</xdr:row>
                    <xdr:rowOff>38100</xdr:rowOff>
                  </from>
                  <to>
                    <xdr:col>2</xdr:col>
                    <xdr:colOff>1657350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Clear_Chart">
                <anchor moveWithCells="1" sizeWithCells="1">
                  <from>
                    <xdr:col>2</xdr:col>
                    <xdr:colOff>66675</xdr:colOff>
                    <xdr:row>3</xdr:row>
                    <xdr:rowOff>152400</xdr:rowOff>
                  </from>
                  <to>
                    <xdr:col>2</xdr:col>
                    <xdr:colOff>1657350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8" name="Button 3">
              <controlPr defaultSize="0" print="0" autoFill="0" autoPict="0" macro="[0]!SuspendAction">
                <anchor moveWithCells="1" sizeWithCells="1">
                  <from>
                    <xdr:col>2</xdr:col>
                    <xdr:colOff>66675</xdr:colOff>
                    <xdr:row>6</xdr:row>
                    <xdr:rowOff>38100</xdr:rowOff>
                  </from>
                  <to>
                    <xdr:col>2</xdr:col>
                    <xdr:colOff>1647825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Button 16">
              <controlPr defaultSize="0" print="0" autoFill="0" autoPict="0" macro="[0]!FetchScriptSymbols">
                <anchor moveWithCells="1" sizeWithCells="1">
                  <from>
                    <xdr:col>2</xdr:col>
                    <xdr:colOff>104775</xdr:colOff>
                    <xdr:row>9</xdr:row>
                    <xdr:rowOff>28575</xdr:rowOff>
                  </from>
                  <to>
                    <xdr:col>2</xdr:col>
                    <xdr:colOff>1657350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Button 17">
              <controlPr defaultSize="0" print="0" autoFill="0" autoPict="0" macro="[0]!Clear_Complete_Data">
                <anchor moveWithCells="1" sizeWithCells="1">
                  <from>
                    <xdr:col>2</xdr:col>
                    <xdr:colOff>133350</xdr:colOff>
                    <xdr:row>12</xdr:row>
                    <xdr:rowOff>9525</xdr:rowOff>
                  </from>
                  <to>
                    <xdr:col>2</xdr:col>
                    <xdr:colOff>1600200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4FB38-8A9B-48D3-82FA-4C37441D63BF}"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Breakout Screener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utsav nagda</cp:lastModifiedBy>
  <cp:revision/>
  <dcterms:created xsi:type="dcterms:W3CDTF">2018-09-11T02:17:54Z</dcterms:created>
  <dcterms:modified xsi:type="dcterms:W3CDTF">2022-10-18T23:05:12Z</dcterms:modified>
  <cp:category/>
  <cp:contentStatus/>
</cp:coreProperties>
</file>